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작하기" sheetId="1" state="visible" r:id="rId3"/>
    <sheet name="1 매출기록" sheetId="2" state="visible" r:id="rId4"/>
    <sheet name="2 손익분기점" sheetId="3" state="visible" r:id="rId5"/>
    <sheet name="3 가격계산기" sheetId="4" state="visible" r:id="rId6"/>
    <sheet name="4 상품네칸" sheetId="5" state="visible" r:id="rId7"/>
    <sheet name="5 통장나누기" sheetId="6" state="visible" r:id="rId8"/>
    <sheet name="6 현금흐름" sheetId="7" state="visible" r:id="rId9"/>
    <sheet name="7 세금달력" sheetId="8" state="visible" r:id="rId10"/>
    <sheet name="8 간편장부" sheetId="9" state="visible" r:id="rId11"/>
    <sheet name="9 세금미리보기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<sst xmlns="http://schemas.openxmlformats.org/spreadsheetml/2006/main" count="300" uniqueCount="248">
  <si>
    <t xml:space="preserve">사장님 경영 엑셀</t>
  </si>
  <si>
    <t xml:space="preserve">《장사 말고 경영》 구매자 특전 · 빈 양식판입니다. 노란 칸에 우리 가게 숫자를 넣으세요.</t>
  </si>
  <si>
    <t xml:space="preserve">칸 색깔 안내</t>
  </si>
  <si>
    <t xml:space="preserve">사장님이 직접 적는 칸입니다. 파란 글씨 숫자는 예시이니 지우고 우리 가게 숫자를 넣으세요.</t>
  </si>
  <si>
    <t xml:space="preserve">회색 칸</t>
  </si>
  <si>
    <t xml:space="preserve">자동으로 계산되는 칸입니다. 지우거나 고치지 마세요.</t>
  </si>
  <si>
    <t xml:space="preserve">주황 칸</t>
  </si>
  <si>
    <t xml:space="preserve">가장 중요한 결과입니다.</t>
  </si>
  <si>
    <t xml:space="preserve">시트 목록</t>
  </si>
  <si>
    <t xml:space="preserve">매일 매출·손님 수를 적으면 월 합계, 요일별 평균, 그래프가 자동으로 나옵니다. (책 1장)</t>
  </si>
  <si>
    <t xml:space="preserve">고정비와 가격·원가를 넣으면 하루에 몇 개를 팔아야 하는지 알려 줍니다. (책 3장)</t>
  </si>
  <si>
    <t xml:space="preserve">원가와 목표 원가율로 최소 가격, 배달 판매 시 남는 돈을 계산합니다. (책 5장)</t>
  </si>
  <si>
    <t xml:space="preserve">상품별 판매 수와 남는 돈으로 효자·인기·숨은·정리 상품을 자동 분류합니다. (책 5장)</t>
  </si>
  <si>
    <t xml:space="preserve">매출을 운영·세금·사장 월급·비상금 통장으로 얼마씩 옮길지 계산합니다. (책 6장)</t>
  </si>
  <si>
    <t xml:space="preserve">앞으로 석 달 통장 잔고를 미리 보고, 모자라는 달을 알려 줍니다. (책 6장)</t>
  </si>
  <si>
    <t xml:space="preserve">1년 세금 일정과 세금 통장에 모은 돈을 확인합니다. (책 6장)</t>
  </si>
  <si>
    <t xml:space="preserve">들어온 돈·나간 돈을 적으면 월별·항목별로 자동 정리됩니다.</t>
  </si>
  <si>
    <t xml:space="preserve">간편장부 숫자로 부가세·종합소득세를 대략 미리 봅니다. (세금 통장 모으기용)</t>
  </si>
  <si>
    <t xml:space="preserve">꼭 읽어 주세요</t>
  </si>
  <si>
    <t xml:space="preserve">• 이 파일의 계산은 경영 판단을 돕기 위한 참고용입니다. 실제 세금 신고는 홈택스 안내나 세무 전문가와 꼭 확인하세요.</t>
  </si>
  <si>
    <t xml:space="preserve">• 세율·신고 일정은 2026년 기준의 일반적인 예이며, 법이 바뀌면 달라질 수 있습니다.</t>
  </si>
  <si>
    <t xml:space="preserve">• 매출기록은 한 달에 시트 하나입니다. 시트 이름을 오른쪽 클릭 → '이동/복사' → '복사본 만들기'로 다음 달을 만드세요.</t>
  </si>
  <si>
    <t xml:space="preserve">• 처음에는 1번 매출기록 하나만 한 달 동안 꾸준히 써 보세요. 그것이 장사에서 경영으로 가는 첫걸음입니다.</t>
  </si>
  <si>
    <t xml:space="preserve">매출 기록장</t>
  </si>
  <si>
    <t xml:space="preserve">가게 문을 닫기 전 5분, 노란 칸만 채우세요. 첫 칸에 이달 1일 날짜를 넣으면 날짜가 자동으로 채워집니다.</t>
  </si>
  <si>
    <t xml:space="preserve">이달 1일</t>
  </si>
  <si>
    <t xml:space="preserve">날짜</t>
  </si>
  <si>
    <t xml:space="preserve">요일</t>
  </si>
  <si>
    <t xml:space="preserve">매출</t>
  </si>
  <si>
    <t xml:space="preserve">손님 수</t>
  </si>
  <si>
    <t xml:space="preserve">객단가
(손님 1명이 쓴 돈)</t>
  </si>
  <si>
    <t xml:space="preserve">가장 많이 팔린 것</t>
  </si>
  <si>
    <t xml:space="preserve">오늘 있었던 일 한 줄</t>
  </si>
  <si>
    <t xml:space="preserve">이달 요약</t>
  </si>
  <si>
    <t xml:space="preserve">이달 매출 합계</t>
  </si>
  <si>
    <t xml:space="preserve">영업한 날</t>
  </si>
  <si>
    <t xml:space="preserve">하루 평균 매출</t>
  </si>
  <si>
    <t xml:space="preserve">이달 손님 수</t>
  </si>
  <si>
    <t xml:space="preserve">하루 평균 손님</t>
  </si>
  <si>
    <t xml:space="preserve">평균 객단가</t>
  </si>
  <si>
    <t xml:space="preserve">요일별 평균 매출</t>
  </si>
  <si>
    <t xml:space="preserve">평균 매출</t>
  </si>
  <si>
    <t xml:space="preserve">월</t>
  </si>
  <si>
    <t xml:space="preserve">화</t>
  </si>
  <si>
    <t xml:space="preserve">수</t>
  </si>
  <si>
    <t xml:space="preserve">목</t>
  </si>
  <si>
    <t xml:space="preserve">금</t>
  </si>
  <si>
    <t xml:space="preserve">토</t>
  </si>
  <si>
    <t xml:space="preserve">일</t>
  </si>
  <si>
    <t xml:space="preserve">가장 약한 요일이 보이면, 그 요일에 바꿀 것 하나를 정해 보세요.</t>
  </si>
  <si>
    <t xml:space="preserve">손익분기점 계산기</t>
  </si>
  <si>
    <t xml:space="preserve">고정비와 가격·원가를 넣으면 하루에 몇 개를 팔아야 손해가 안 나는지 알려 줍니다. (예시: 책 3장의 동네 카페)</t>
  </si>
  <si>
    <t xml:space="preserve">① 한 달 고정비</t>
  </si>
  <si>
    <t xml:space="preserve">금액</t>
  </si>
  <si>
    <t xml:space="preserve">③ 결과</t>
  </si>
  <si>
    <t xml:space="preserve">월세</t>
  </si>
  <si>
    <t xml:space="preserve">하나 팔 때 남는 돈 (B)</t>
  </si>
  <si>
    <t xml:space="preserve">인건비 (직원·아르바이트)</t>
  </si>
  <si>
    <t xml:space="preserve">원가율</t>
  </si>
  <si>
    <t xml:space="preserve">관리비·전기·수도·통신</t>
  </si>
  <si>
    <t xml:space="preserve">한 달에 팔아야 할 수 (A ÷ B)</t>
  </si>
  <si>
    <t xml:space="preserve">소모품·보험·기타</t>
  </si>
  <si>
    <t xml:space="preserve">하루에 팔아야 할 수</t>
  </si>
  <si>
    <t xml:space="preserve">대출 이자</t>
  </si>
  <si>
    <t xml:space="preserve">한 달 손익분기 매출</t>
  </si>
  <si>
    <t xml:space="preserve">사장 월급 (최소한 가져갈 돈)</t>
  </si>
  <si>
    <t xml:space="preserve">하루 손익분기 매출</t>
  </si>
  <si>
    <t xml:space="preserve">기타</t>
  </si>
  <si>
    <t xml:space="preserve">한 달 고정비 합계 (A)</t>
  </si>
  <si>
    <t xml:space="preserve">하루에 이 수보다 많이 판 날은 이익, 적게 판 날은 손해입니다.</t>
  </si>
  <si>
    <t xml:space="preserve">② 상품 하나(손님 1명)</t>
  </si>
  <si>
    <t xml:space="preserve">④ 만약 가격을 바꾼다면?</t>
  </si>
  <si>
    <t xml:space="preserve">평균 판매 가격 (손님 1명 평균)</t>
  </si>
  <si>
    <t xml:space="preserve">가격 변화</t>
  </si>
  <si>
    <t xml:space="preserve">하나 팔 때 드는 원가 (재료·포장)</t>
  </si>
  <si>
    <t xml:space="preserve">한 달 영업일 수</t>
  </si>
  <si>
    <t xml:space="preserve">가격을 올리면 덜 팔아도 되지만, 손님이 줄지 않을지 함께 판단하세요.</t>
  </si>
  <si>
    <t xml:space="preserve">가격 계산기</t>
  </si>
  <si>
    <t xml:space="preserve">원가를 넣으면 최소 가격과 지금 가격의 원가율, 배달로 팔 때 남는 돈을 계산합니다. (책 5장 '바닥 가격')</t>
  </si>
  <si>
    <t xml:space="preserve">상품명</t>
  </si>
  <si>
    <t xml:space="preserve">재료비</t>
  </si>
  <si>
    <t xml:space="preserve">포장·기타 원가</t>
  </si>
  <si>
    <t xml:space="preserve">원가 합계</t>
  </si>
  <si>
    <t xml:space="preserve">목표 원가율</t>
  </si>
  <si>
    <t xml:space="preserve">최소 가격
(원가÷목표 원가율)</t>
  </si>
  <si>
    <t xml:space="preserve">지금 가격</t>
  </si>
  <si>
    <t xml:space="preserve">지금 원가율</t>
  </si>
  <si>
    <t xml:space="preserve">매장 1개당
남는 돈</t>
  </si>
  <si>
    <t xml:space="preserve">배달 수수료율</t>
  </si>
  <si>
    <t xml:space="preserve">배달 1개당
남는 돈</t>
  </si>
  <si>
    <t xml:space="preserve">판단</t>
  </si>
  <si>
    <t xml:space="preserve">• 목표 원가율: 가게 전체 원가율을 이 비율 안으로 지키고 싶다는 뜻입니다. 음식점·카페는 보통 25~35% 사이에서 정합니다(가게마다 다름).</t>
  </si>
  <si>
    <t xml:space="preserve">• 최소 가격은 100원 단위로 올림했습니다. 실제 가격은 주변 가격과 손님이 느끼는 가치(천장)를 함께 보고 정하세요.</t>
  </si>
  <si>
    <t xml:space="preserve">• 카드 수수료가 크다면 '포장·기타 원가'에 한 개당 카드 수수료 금액을 더해 넣으세요.</t>
  </si>
  <si>
    <t xml:space="preserve">상품 네 칸 분석</t>
  </si>
  <si>
    <t xml:space="preserve">상품별 한 달 판매 수와 1개당 남는 돈을 넣으면, 평균을 기준으로 네 칸 중 어디인지 자동으로 나눠 줍니다.</t>
  </si>
  <si>
    <t xml:space="preserve">한 달 판매 수</t>
  </si>
  <si>
    <t xml:space="preserve">1개당 남는 돈</t>
  </si>
  <si>
    <t xml:space="preserve">총 남는 돈</t>
  </si>
  <si>
    <t xml:space="preserve">분류</t>
  </si>
  <si>
    <t xml:space="preserve">할 일</t>
  </si>
  <si>
    <t xml:space="preserve">나누는 기준 (평균)</t>
  </si>
  <si>
    <t xml:space="preserve">평균 판매 수</t>
  </si>
  <si>
    <t xml:space="preserve">평균 1개당 남는 돈</t>
  </si>
  <si>
    <t xml:space="preserve">칸별 상품 수</t>
  </si>
  <si>
    <t xml:space="preserve">① 효자 상품</t>
  </si>
  <si>
    <t xml:space="preserve">② 인기 상품</t>
  </si>
  <si>
    <t xml:space="preserve">③ 숨은 상품</t>
  </si>
  <si>
    <t xml:space="preserve">④ 정리 대상</t>
  </si>
  <si>
    <t xml:space="preserve">판매 기록(1번 시트나 포스기)에서 한 달 판매 수를 옮겨 적으세요.</t>
  </si>
  <si>
    <t xml:space="preserve">통장 나누기 계산</t>
  </si>
  <si>
    <t xml:space="preserve">이번 달 매출 통장에 들어온 돈을 넣으면, 통장마다 얼마씩 옮길지 계산합니다. 비율은 가게에 맞게 바꾸세요.</t>
  </si>
  <si>
    <t xml:space="preserve">이번 달 매출 통장에 들어온 돈</t>
  </si>
  <si>
    <t xml:space="preserve">통장</t>
  </si>
  <si>
    <t xml:space="preserve">정한 비율·금액</t>
  </si>
  <si>
    <t xml:space="preserve">이번 달 옮길 돈</t>
  </si>
  <si>
    <t xml:space="preserve">하는 일</t>
  </si>
  <si>
    <t xml:space="preserve">세금 통장</t>
  </si>
  <si>
    <t xml:space="preserve">부가세·종합소득세를 미리 모아 둠 (손대지 않기)</t>
  </si>
  <si>
    <t xml:space="preserve">사장 월급 통장</t>
  </si>
  <si>
    <t xml:space="preserve">매달 정한 금액만 같은 날 옮김</t>
  </si>
  <si>
    <t xml:space="preserve">비상금 통장</t>
  </si>
  <si>
    <t xml:space="preserve">어려운 달을 버틸 돈 (꼭 필요할 때만)</t>
  </si>
  <si>
    <t xml:space="preserve">운영 통장 (나머지)</t>
  </si>
  <si>
    <t xml:space="preserve">자동</t>
  </si>
  <si>
    <t xml:space="preserve">재료비·월세·월급·공과금</t>
  </si>
  <si>
    <t xml:space="preserve">운영비로 쓸 수 있는 돈의 비율</t>
  </si>
  <si>
    <t xml:space="preserve">• 세금 통장 비율은 업종과 규모에 따라 다릅니다. 9번 '세금미리보기'로 대략 계산해 보고, 세무 전문가와 상의해 정하세요.</t>
  </si>
  <si>
    <t xml:space="preserve">• 처음부터 다섯 개가 부담스러우면 가게 통장·개인 통장·세금 통장, 세 개만이라도 나누세요. (책 6장)</t>
  </si>
  <si>
    <t xml:space="preserve">석 달 현금 흐름표</t>
  </si>
  <si>
    <t xml:space="preserve">앞으로 석 달 동안 들어올 돈과 나갈 돈을 적으면, 월말 잔고가 모자라는 달을 미리 알려 줍니다.</t>
  </si>
  <si>
    <t xml:space="preserve">항목</t>
  </si>
  <si>
    <t xml:space="preserve">이번 달</t>
  </si>
  <si>
    <t xml:space="preserve">다음 달</t>
  </si>
  <si>
    <t xml:space="preserve">다다음 달</t>
  </si>
  <si>
    <t xml:space="preserve">달 이름 (직접 적기)</t>
  </si>
  <si>
    <t xml:space="preserve">월초 통장 잔고</t>
  </si>
  <si>
    <t xml:space="preserve">들어올 돈 (매출 정산, 외상 회수 등)</t>
  </si>
  <si>
    <t xml:space="preserve">나갈 돈 (재료비, 월세, 월급, 공과금)</t>
  </si>
  <si>
    <t xml:space="preserve">큰 지출 (세금, 대출 원금, 장비, 보험)</t>
  </si>
  <si>
    <t xml:space="preserve">월말 예상 잔고</t>
  </si>
  <si>
    <t xml:space="preserve">• '주의'는 월말 잔고가 한 달 나갈 돈의 30%보다 적을 때입니다. 미리 재료 주문을 조절하거나 외상 회수를 서두르세요.</t>
  </si>
  <si>
    <t xml:space="preserve">• 이익이 나도 통장이 비는 이유는 늦게 들어오는 돈, 먼저 나가는 돈, 한꺼번에 나가는 세금 때문입니다. (책 6장)</t>
  </si>
  <si>
    <t xml:space="preserve">세금 달력과 세금 통장</t>
  </si>
  <si>
    <t xml:space="preserve">개인사업자에게 흔한 일정입니다. 끝낸 일은 '완료' 칸에 ○를 적으세요. 정확한 날짜와 대상은 해마다 홈택스에서 확인하세요.</t>
  </si>
  <si>
    <t xml:space="preserve">달</t>
  </si>
  <si>
    <t xml:space="preserve">세금</t>
  </si>
  <si>
    <t xml:space="preserve">내용</t>
  </si>
  <si>
    <t xml:space="preserve">대상</t>
  </si>
  <si>
    <t xml:space="preserve">완료</t>
  </si>
  <si>
    <t xml:space="preserve">1월</t>
  </si>
  <si>
    <t xml:space="preserve">부가가치세</t>
  </si>
  <si>
    <t xml:space="preserve">지난해 하반기분 확정 신고·납부 (간이과세자는 1년분)</t>
  </si>
  <si>
    <t xml:space="preserve">부가세 사업자</t>
  </si>
  <si>
    <t xml:space="preserve">2월</t>
  </si>
  <si>
    <t xml:space="preserve">사업장현황신고</t>
  </si>
  <si>
    <t xml:space="preserve">지난해 수입 신고</t>
  </si>
  <si>
    <t xml:space="preserve">면세사업자</t>
  </si>
  <si>
    <t xml:space="preserve">4월</t>
  </si>
  <si>
    <t xml:space="preserve">상반기 예정 고지·신고</t>
  </si>
  <si>
    <t xml:space="preserve">대상자</t>
  </si>
  <si>
    <t xml:space="preserve">5월</t>
  </si>
  <si>
    <t xml:space="preserve">종합소득세</t>
  </si>
  <si>
    <t xml:space="preserve">지난해 1년 소득 신고·납부</t>
  </si>
  <si>
    <t xml:space="preserve">개인사업자 모두</t>
  </si>
  <si>
    <t xml:space="preserve">7월</t>
  </si>
  <si>
    <t xml:space="preserve">올해 상반기분 확정 신고·납부</t>
  </si>
  <si>
    <t xml:space="preserve">일반과세자</t>
  </si>
  <si>
    <t xml:space="preserve">10월</t>
  </si>
  <si>
    <t xml:space="preserve">하반기 예정 고지·신고</t>
  </si>
  <si>
    <t xml:space="preserve">11월</t>
  </si>
  <si>
    <t xml:space="preserve">종합소득세 중간예납</t>
  </si>
  <si>
    <t xml:space="preserve">올해 소득세 일부 미리 납부 (고지)</t>
  </si>
  <si>
    <t xml:space="preserve">매달</t>
  </si>
  <si>
    <t xml:space="preserve">원천세·4대 보험</t>
  </si>
  <si>
    <t xml:space="preserve">직원 급여에서 뗀 세금·보험료 신고·납부</t>
  </si>
  <si>
    <t xml:space="preserve">직원이 있는 경우</t>
  </si>
  <si>
    <t xml:space="preserve">세금 통장 모으기</t>
  </si>
  <si>
    <t xml:space="preserve">그달 매출</t>
  </si>
  <si>
    <t xml:space="preserve">모을 비율</t>
  </si>
  <si>
    <t xml:space="preserve">모아야 할 돈</t>
  </si>
  <si>
    <t xml:space="preserve">실제로 옮긴 돈</t>
  </si>
  <si>
    <t xml:space="preserve">누적 모은 돈</t>
  </si>
  <si>
    <t xml:space="preserve">차이</t>
  </si>
  <si>
    <t xml:space="preserve">3월</t>
  </si>
  <si>
    <t xml:space="preserve">6월</t>
  </si>
  <si>
    <t xml:space="preserve">8월</t>
  </si>
  <si>
    <t xml:space="preserve">9월</t>
  </si>
  <si>
    <t xml:space="preserve">12월</t>
  </si>
  <si>
    <t xml:space="preserve">합계</t>
  </si>
  <si>
    <t xml:space="preserve">• '차이'가 빨간색이면 그달에 덜 모은 것입니다. 세금 고지서가 오기 전에 채워 두세요.</t>
  </si>
  <si>
    <t xml:space="preserve">간편장부</t>
  </si>
  <si>
    <t xml:space="preserve">들어온 돈과 나간 돈을 한 줄씩 적으세요. 구분·항목·증빙은 목록에서 선택합니다. 오른쪽 표가 월별·항목별로 자동 정리됩니다.</t>
  </si>
  <si>
    <t xml:space="preserve">장부 연도</t>
  </si>
  <si>
    <t xml:space="preserve">월별 정리</t>
  </si>
  <si>
    <t xml:space="preserve">항목별 정리 (1년)</t>
  </si>
  <si>
    <t xml:space="preserve">구분</t>
  </si>
  <si>
    <t xml:space="preserve">증빙</t>
  </si>
  <si>
    <t xml:space="preserve">메모</t>
  </si>
  <si>
    <t xml:space="preserve">들어온 돈</t>
  </si>
  <si>
    <t xml:space="preserve">나간 돈</t>
  </si>
  <si>
    <t xml:space="preserve">남은 돈</t>
  </si>
  <si>
    <t xml:space="preserve">비중</t>
  </si>
  <si>
    <t xml:space="preserve">항목목록</t>
  </si>
  <si>
    <t xml:space="preserve">기타 수입</t>
  </si>
  <si>
    <t xml:space="preserve">재료비·상품</t>
  </si>
  <si>
    <t xml:space="preserve">인건비</t>
  </si>
  <si>
    <t xml:space="preserve">임차료</t>
  </si>
  <si>
    <t xml:space="preserve">공과금</t>
  </si>
  <si>
    <t xml:space="preserve">소모품</t>
  </si>
  <si>
    <t xml:space="preserve">광고비</t>
  </si>
  <si>
    <t xml:space="preserve">수수료</t>
  </si>
  <si>
    <t xml:space="preserve">보험료</t>
  </si>
  <si>
    <t xml:space="preserve">차량·교통</t>
  </si>
  <si>
    <t xml:space="preserve">수리비</t>
  </si>
  <si>
    <t xml:space="preserve">1년</t>
  </si>
  <si>
    <t xml:space="preserve">기타 비용</t>
  </si>
  <si>
    <t xml:space="preserve">증빙 없는 비용</t>
  </si>
  <si>
    <t xml:space="preserve">증빙이 없으면 경비로 인정받기 어렵습니다. 카드·현금영수증을 챙기세요.</t>
  </si>
  <si>
    <t xml:space="preserve">세금 미리보기 (대략)</t>
  </si>
  <si>
    <t xml:space="preserve">간편장부 1년 숫자로 세금을 '대략' 미리 봅니다. 세금 통장에 얼마를 모을지 정하는 용도이며, 실제 신고 금액과 다릅니다.</t>
  </si>
  <si>
    <t xml:space="preserve">① 부가가치세 (일반과세자, 가격에 부가세 포함 기준)</t>
  </si>
  <si>
    <t xml:space="preserve">1년 매출 (간편장부)</t>
  </si>
  <si>
    <t xml:space="preserve">증빙 있는 비용 (세금계산서·카드·현금영수증)</t>
  </si>
  <si>
    <t xml:space="preserve">그중 부가세 공제가 안 되는 비용 (인건비·보험료 등)</t>
  </si>
  <si>
    <t xml:space="preserve">1년 부가세 대략 = (매출 − 공제되는 비용) ÷ 11</t>
  </si>
  <si>
    <t xml:space="preserve">간이과세자·면세사업자는 계산 방식이 다릅니다. 이 값은 일반과세자 기준 어림값입니다.</t>
  </si>
  <si>
    <t xml:space="preserve">② 종합소득세 (개인사업자)</t>
  </si>
  <si>
    <t xml:space="preserve">종합소득세 세율표 (2026년 기준)</t>
  </si>
  <si>
    <t xml:space="preserve">1년 들어온 돈 (간편장부)</t>
  </si>
  <si>
    <t xml:space="preserve">과세표준 (이상)</t>
  </si>
  <si>
    <t xml:space="preserve">세율</t>
  </si>
  <si>
    <t xml:space="preserve">누진공제</t>
  </si>
  <si>
    <t xml:space="preserve">1년 나간 돈 (간편장부)</t>
  </si>
  <si>
    <t xml:space="preserve">소득금액 = 들어온 돈 − 나간 돈</t>
  </si>
  <si>
    <t xml:space="preserve">소득공제 (본인 기본공제 150만 원 + 그 밖의 공제, 직접 적기)</t>
  </si>
  <si>
    <t xml:space="preserve">과세표준</t>
  </si>
  <si>
    <t xml:space="preserve">종합소득세 대략 (세율표 적용)</t>
  </si>
  <si>
    <t xml:space="preserve">지방소득세 (종합소득세의 10%)</t>
  </si>
  <si>
    <t xml:space="preserve">내야 할 세금 대략 (합계)</t>
  </si>
  <si>
    <t xml:space="preserve">③ 그래서 세금 통장에는</t>
  </si>
  <si>
    <t xml:space="preserve">출처: 소득세법 제55조 세율 (2023년 귀속분부터 적용, 2026년 기준표 확인)</t>
  </si>
  <si>
    <t xml:space="preserve">1년에 모아야 할 돈 대략 (부가세 + 소득세)</t>
  </si>
  <si>
    <t xml:space="preserve">한 달에 모으면 좋은 돈</t>
  </si>
  <si>
    <t xml:space="preserve">매출 대비 비율 (5번 통장나누기 '세금 통장' 비율 참고)</t>
  </si>
  <si>
    <t xml:space="preserve">• 이 계산은 세금 통장에 얼마를 모을지 정하기 위한 어림값입니다. 실제 신고 금액과 다릅니다.</t>
  </si>
  <si>
    <t xml:space="preserve">• 실제 세금은 업종별 경비율, 각종 공제·감면, 가산세, 중간예납 등에 따라 달라집니다.</t>
  </si>
  <si>
    <t xml:space="preserve">• 신고는 홈택스(hometax.go.kr) 안내를 따르거나 세무 전문가와 상의하세요. 법인은 이 표를 쓰지 말고 세무사와 상의하세요.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</si>
</sst>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yyyy\-mm\-dd"/>
    <numFmt numFmtId="166" formatCode="m&quot;월 &quot;d\일"/>
    <numFmt numFmtId="167" formatCode="#,##0\원;\-#,##0\원;\-"/>
    <numFmt numFmtId="168" formatCode="#,##0;\-#,##0;\-"/>
    <numFmt numFmtId="169" formatCode="0\일"/>
    <numFmt numFmtId="170" formatCode="#,##0\명"/>
    <numFmt numFmtId="171" formatCode="#,##0.0\명"/>
    <numFmt numFmtId="172" formatCode="0.0%;\-0.0%;\-"/>
    <numFmt numFmtId="173" formatCode="#,##0\개"/>
    <numFmt numFmtId="174" formatCode="\+#,##0\원;\-#,##0\원;&quot;지금 가격&quot;"/>
    <numFmt numFmtId="175" formatCode="0\개"/>
    <numFmt numFmtId="176" formatCode="0"/>
    <numFmt numFmtId="177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D45A22"/>
      <name val="맑은 고딕"/>
      <family val="0"/>
      <charset val="1"/>
    </font>
    <font>
      <sz val="10.5"/>
      <color rgb="FF6B665E"/>
      <name val="맑은 고딕"/>
      <family val="0"/>
      <charset val="1"/>
    </font>
    <font>
      <sz val="11"/>
      <color theme="1"/>
      <name val="맑은 고딕"/>
      <family val="0"/>
      <charset val="1"/>
    </font>
    <font>
      <b val="true"/>
      <sz val="11"/>
      <color rgb="FF1A1A1A"/>
      <name val="맑은 고딕"/>
      <family val="0"/>
      <charset val="1"/>
    </font>
    <font>
      <sz val="10"/>
      <color rgb="FF0000FF"/>
      <name val="맑은 고딕"/>
      <family val="0"/>
      <charset val="1"/>
    </font>
    <font>
      <b val="true"/>
      <sz val="10"/>
      <color rgb="FFD45A22"/>
      <name val="맑은 고딕"/>
      <family val="0"/>
      <charset val="1"/>
    </font>
    <font>
      <b val="true"/>
      <u val="single"/>
      <sz val="11"/>
      <color rgb="FFD45A22"/>
      <name val="맑은 고딕"/>
      <family val="0"/>
      <charset val="1"/>
    </font>
    <font>
      <b val="true"/>
      <sz val="16"/>
      <color rgb="FFD45A22"/>
      <name val="맑은 고딕"/>
      <family val="0"/>
      <charset val="1"/>
    </font>
    <font>
      <sz val="9.5"/>
      <color rgb="FF6B665E"/>
      <name val="맑은 고딕"/>
      <family val="0"/>
      <charset val="1"/>
    </font>
    <font>
      <b val="true"/>
      <sz val="10"/>
      <color rgb="FF1A1A1A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2"/>
      <color rgb="FFD45A22"/>
      <name val="맑은 고딕"/>
      <family val="0"/>
      <charset val="1"/>
    </font>
    <font>
      <sz val="10"/>
      <color rgb="FF1A1A1A"/>
      <name val="맑은 고딕"/>
      <family val="0"/>
      <charset val="1"/>
    </font>
    <font>
      <b val="true"/>
      <sz val="11"/>
      <color rgb="FFD45A22"/>
      <name val="맑은 고딕"/>
      <family val="0"/>
      <charset val="1"/>
    </font>
    <font>
      <sz val="9"/>
      <color rgb="FF6B665E"/>
      <name val="맑은 고딕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sz val="10"/>
      <color rgb="FF6B665E"/>
      <name val="맑은 고딕"/>
      <family val="0"/>
      <charset val="1"/>
    </font>
    <font>
      <b val="true"/>
      <sz val="10"/>
      <color rgb="FFC0392B"/>
      <name val="맑은 고딕"/>
      <family val="0"/>
      <charset val="1"/>
    </font>
    <font>
      <b val="true"/>
      <sz val="18"/>
      <color rgb="FF000000"/>
      <name val="Calibri"/>
      <family val="2"/>
    </font>
    <font>
      <sz val="8.5"/>
      <color rgb="FF6B665E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4CC"/>
        <bgColor rgb="FFFFF1E6"/>
      </patternFill>
    </fill>
    <fill>
      <patternFill patternType="solid">
        <fgColor rgb="FFF5F2ED"/>
        <bgColor rgb="FFFFF1E6"/>
      </patternFill>
    </fill>
    <fill>
      <patternFill patternType="solid">
        <fgColor rgb="FFFCE6D9"/>
        <bgColor rgb="FFFFF1E6"/>
      </patternFill>
    </fill>
    <fill>
      <patternFill patternType="solid">
        <fgColor rgb="FF1A1A1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9"/>
      </left>
      <right style="thin">
        <color rgb="FFD9D3C9"/>
      </right>
      <top style="thin">
        <color rgb="FFD9D3C9"/>
      </top>
      <bottom style="thin">
        <color rgb="FFD9D3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맑은 고딕"/>
        <charset val="1"/>
        <family val="0"/>
        <b val="1"/>
        <color rgb="FFC0392B"/>
      </font>
    </dxf>
    <dxf>
      <fill>
        <patternFill>
          <bgColor rgb="FFFCE6D9"/>
        </patternFill>
      </fill>
    </dxf>
    <dxf>
      <fill>
        <patternFill>
          <bgColor rgb="FFF5F2ED"/>
        </patternFill>
      </fill>
    </dxf>
    <dxf>
      <fill>
        <patternFill>
          <bgColor rgb="FFFFF1E6"/>
        </patternFill>
      </fill>
    </dxf>
    <dxf>
      <fill>
        <patternFill>
          <bgColor rgb="FFE9E7E3"/>
        </patternFill>
      </fill>
    </dxf>
    <dxf>
      <font>
        <name val="맑은 고딕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9"/>
      <rgbColor rgb="FF878787"/>
      <rgbColor rgb="FF9999FF"/>
      <rgbColor rgb="FF993366"/>
      <rgbColor rgb="FFFFF4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2ED"/>
      <rgbColor rgb="FFE9E7E3"/>
      <rgbColor rgb="FFFFF1E6"/>
      <rgbColor rgb="FF99CCFF"/>
      <rgbColor rgb="FFFF99CC"/>
      <rgbColor rgb="FFCC99FF"/>
      <rgbColor rgb="FFFCE6D9"/>
      <rgbColor rgb="FF3366FF"/>
      <rgbColor rgb="FF33CCCC"/>
      <rgbColor rgb="FF99CC00"/>
      <rgbColor rgb="FFFFCC00"/>
      <rgbColor rgb="FFFF9900"/>
      <rgbColor rgb="FFD45A22"/>
      <rgbColor rgb="FF6B665E"/>
      <rgbColor rgb="FF8F887E"/>
      <rgbColor rgb="FF003366"/>
      <rgbColor rgb="FF339966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요일별 평균 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 매출기록'!J14</c:f>
              <c:strCache>
                <c:ptCount val="1"/>
                <c:pt idx="0">
                  <c:v>평균 매출</c:v>
                </c:pt>
              </c:strCache>
            </c:strRef>
          </c:tx>
          <c:spPr>
            <a:solidFill>
              <a:srgbClr val="d45a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매출기록'!$I$15:$I$21</c:f>
              <c:strCache>
                <c:ptCount val="7"/>
                <c:pt idx="0">
                  <c:v>월</c:v>
                </c:pt>
                <c:pt idx="1">
                  <c:v>화</c:v>
                </c:pt>
                <c:pt idx="2">
                  <c:v>수</c:v>
                </c:pt>
                <c:pt idx="3">
                  <c:v>목</c:v>
                </c:pt>
                <c:pt idx="4">
                  <c:v>금</c:v>
                </c:pt>
                <c:pt idx="5">
                  <c:v>토</c:v>
                </c:pt>
                <c:pt idx="6">
                  <c:v>일</c:v>
                </c:pt>
              </c:strCache>
            </c:strRef>
          </c:cat>
          <c:val>
            <c:numRef>
              <c:f>'1 매출기록'!$J$15:$J$21</c:f>
              <c:numCache>
                <c:formatCode>#,##0\원;\-#,##0\원;\-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52606673"/>
        <c:axId val="73777211"/>
      </c:barChart>
      <c:catAx>
        <c:axId val="526066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77211"/>
        <c:crosses val="autoZero"/>
        <c:auto val="1"/>
        <c:lblAlgn val="ctr"/>
        <c:lblOffset val="100"/>
        <c:noMultiLvlLbl val="0"/>
      </c:catAx>
      <c:valAx>
        <c:axId val="737772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\원;\-#,##0\원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066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날짜별 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 매출기록'!C5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rgbClr val="1a1a1a"/>
            </a:solidFill>
            <a:ln w="47520">
              <a:solidFill>
                <a:srgbClr val="1a1a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 매출기록'!$A$6:$A$36</c:f>
              <c:strCache>
                <c:ptCount val="31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</c:strCache>
            </c:strRef>
          </c:cat>
          <c:val>
            <c:numRef>
              <c:f>'1 매출기록'!$C$6:$C$36</c:f>
              <c:numCache>
                <c:formatCode>General</c:formatCode>
                <c:ptCount val="3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92540"/>
        <c:axId val="41659986"/>
      </c:lineChart>
      <c:catAx>
        <c:axId val="90925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59986"/>
        <c:crosses val="autoZero"/>
        <c:auto val="1"/>
        <c:lblAlgn val="ctr"/>
        <c:lblOffset val="100"/>
        <c:noMultiLvlLbl val="0"/>
      </c:catAx>
      <c:valAx>
        <c:axId val="416599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25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들어온 돈·나간 돈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'8 간편장부'!J5</c:f>
              <c:strCache>
                <c:ptCount val="1"/>
                <c:pt idx="0">
                  <c:v>들어온 돈</c:v>
                </c:pt>
              </c:strCache>
            </c:strRef>
          </c:tx>
          <c:spPr>
            <a:solidFill>
              <a:srgbClr val="d45a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간편장부'!$I$6:$I$17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 간편장부'!$J$6:$J$17</c:f>
              <c:numCache>
                <c:formatCode>#,##0\원;\-#,##0\원;\-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'8 간편장부'!K5</c:f>
              <c:strCache>
                <c:ptCount val="1"/>
                <c:pt idx="0">
                  <c:v>나간 돈</c:v>
                </c:pt>
              </c:strCache>
            </c:strRef>
          </c:tx>
          <c:spPr>
            <a:solidFill>
              <a:srgbClr val="8f887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 간편장부'!$I$6:$I$17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 간편장부'!$K$6:$K$17</c:f>
              <c:numCache>
                <c:formatCode>#,##0\원;\-#,##0\원;\-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9111593"/>
        <c:axId val="29453926"/>
      </c:barChart>
      <c:catAx>
        <c:axId val="891115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53926"/>
        <c:crosses val="autoZero"/>
        <c:auto val="1"/>
        <c:lblAlgn val="ctr"/>
        <c:lblOffset val="100"/>
        <c:noMultiLvlLbl val="0"/>
      </c:catAx>
      <c:valAx>
        <c:axId val="294539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\원;\-#,##0\원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11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4</xdr:row>
      <xdr:rowOff>0</xdr:rowOff>
    </xdr:from>
    <xdr:to>
      <xdr:col>18</xdr:col>
      <xdr:colOff>399240</xdr:colOff>
      <xdr:row>15</xdr:row>
      <xdr:rowOff>42840</xdr:rowOff>
    </xdr:to>
    <xdr:graphicFrame>
      <xdr:nvGraphicFramePr>
        <xdr:cNvPr id="0" name="Chart 1"/>
        <xdr:cNvGraphicFramePr/>
      </xdr:nvGraphicFramePr>
      <xdr:xfrm>
        <a:off x="10809000" y="92376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20</xdr:row>
      <xdr:rowOff>0</xdr:rowOff>
    </xdr:from>
    <xdr:to>
      <xdr:col>18</xdr:col>
      <xdr:colOff>399240</xdr:colOff>
      <xdr:row>33</xdr:row>
      <xdr:rowOff>42840</xdr:rowOff>
    </xdr:to>
    <xdr:graphicFrame>
      <xdr:nvGraphicFramePr>
        <xdr:cNvPr id="1" name="Chart 2"/>
        <xdr:cNvGraphicFramePr/>
      </xdr:nvGraphicFramePr>
      <xdr:xfrm>
        <a:off x="10809000" y="435276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20</xdr:row>
      <xdr:rowOff>52560</xdr:rowOff>
    </xdr:from>
    <xdr:to>
      <xdr:col>14</xdr:col>
      <xdr:colOff>566640</xdr:colOff>
      <xdr:row>34</xdr:row>
      <xdr:rowOff>85320</xdr:rowOff>
    </xdr:to>
    <xdr:graphicFrame>
      <xdr:nvGraphicFramePr>
        <xdr:cNvPr id="2" name="Chart 1"/>
        <xdr:cNvGraphicFramePr/>
      </xdr:nvGraphicFramePr>
      <xdr:xfrm>
        <a:off x="7800840" y="43527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5A22"/>
    <pageSetUpPr fitToPage="true"/>
  </sheetPr>
  <dimension ref="A2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70"/>
  </cols>
  <sheetData>
    <row r="2" customFormat="false" ht="26.8" hidden="false" customHeight="false" outlineLevel="0" collapsed="false">
      <c r="B2" s="1" t="s">
        <v>0</v>
      </c>
    </row>
    <row r="3" customFormat="false" ht="16.4" hidden="false" customHeight="false" outlineLevel="0" collapsed="false">
      <c r="B3" s="2" t="s">
        <v>1</v>
      </c>
    </row>
    <row r="5" customFormat="false" ht="15" hidden="false" customHeight="false" outlineLevel="0" collapsed="false">
      <c r="A5" s="3"/>
      <c r="B5" s="4" t="s">
        <v>2</v>
      </c>
      <c r="C5" s="3"/>
    </row>
    <row r="6" customFormat="false" ht="17.15" hidden="false" customHeight="false" outlineLevel="0" collapsed="false">
      <c r="A6" s="3"/>
      <c r="B6" s="5"/>
      <c r="C6" s="3" t="s">
        <v>3</v>
      </c>
    </row>
    <row r="7" customFormat="false" ht="17.15" hidden="false" customHeight="false" outlineLevel="0" collapsed="false">
      <c r="A7" s="3"/>
      <c r="B7" s="6" t="s">
        <v>4</v>
      </c>
      <c r="C7" s="3" t="s">
        <v>5</v>
      </c>
    </row>
    <row r="8" customFormat="false" ht="17.15" hidden="false" customHeight="false" outlineLevel="0" collapsed="false">
      <c r="A8" s="3"/>
      <c r="B8" s="7" t="s">
        <v>6</v>
      </c>
      <c r="C8" s="3" t="s">
        <v>7</v>
      </c>
    </row>
    <row r="9" customFormat="false" ht="15" hidden="false" customHeight="false" outlineLevel="0" collapsed="false">
      <c r="A9" s="3"/>
      <c r="B9" s="3"/>
      <c r="C9" s="3"/>
    </row>
    <row r="10" customFormat="false" ht="15" hidden="false" customHeight="false" outlineLevel="0" collapsed="false">
      <c r="A10" s="3"/>
      <c r="B10" s="4" t="s">
        <v>8</v>
      </c>
      <c r="C10" s="3"/>
    </row>
    <row r="11" customFormat="false" ht="17.15" hidden="false" customHeight="false" outlineLevel="0" collapsed="false">
      <c r="A11" s="3"/>
      <c r="B11" s="8" t="str">
        <f aca="false">HYPERLINK("#'1 매출기록'!A1","1 매출기록")</f>
        <v>1 매출기록</v>
      </c>
      <c r="C11" s="3" t="s">
        <v>9</v>
      </c>
    </row>
    <row r="12" customFormat="false" ht="17.15" hidden="false" customHeight="false" outlineLevel="0" collapsed="false">
      <c r="A12" s="3"/>
      <c r="B12" s="8" t="str">
        <f aca="false">HYPERLINK("#'2 손익분기점'!A1","2 손익분기점")</f>
        <v>2 손익분기점</v>
      </c>
      <c r="C12" s="3" t="s">
        <v>10</v>
      </c>
    </row>
    <row r="13" customFormat="false" ht="17.15" hidden="false" customHeight="false" outlineLevel="0" collapsed="false">
      <c r="A13" s="3"/>
      <c r="B13" s="8" t="str">
        <f aca="false">HYPERLINK("#'3 가격계산기'!A1","3 가격계산기")</f>
        <v>3 가격계산기</v>
      </c>
      <c r="C13" s="3" t="s">
        <v>11</v>
      </c>
    </row>
    <row r="14" customFormat="false" ht="17.15" hidden="false" customHeight="false" outlineLevel="0" collapsed="false">
      <c r="A14" s="3"/>
      <c r="B14" s="8" t="str">
        <f aca="false">HYPERLINK("#'4 상품네칸'!A1","4 상품네칸")</f>
        <v>4 상품네칸</v>
      </c>
      <c r="C14" s="3" t="s">
        <v>12</v>
      </c>
    </row>
    <row r="15" customFormat="false" ht="17.15" hidden="false" customHeight="false" outlineLevel="0" collapsed="false">
      <c r="A15" s="3"/>
      <c r="B15" s="8" t="str">
        <f aca="false">HYPERLINK("#'5 통장나누기'!A1","5 통장나누기")</f>
        <v>5 통장나누기</v>
      </c>
      <c r="C15" s="3" t="s">
        <v>13</v>
      </c>
    </row>
    <row r="16" customFormat="false" ht="17.15" hidden="false" customHeight="false" outlineLevel="0" collapsed="false">
      <c r="A16" s="3"/>
      <c r="B16" s="8" t="str">
        <f aca="false">HYPERLINK("#'6 현금흐름'!A1","6 현금흐름")</f>
        <v>6 현금흐름</v>
      </c>
      <c r="C16" s="3" t="s">
        <v>14</v>
      </c>
    </row>
    <row r="17" customFormat="false" ht="17.15" hidden="false" customHeight="false" outlineLevel="0" collapsed="false">
      <c r="A17" s="3"/>
      <c r="B17" s="8" t="str">
        <f aca="false">HYPERLINK("#'7 세금달력'!A1","7 세금달력")</f>
        <v>7 세금달력</v>
      </c>
      <c r="C17" s="3" t="s">
        <v>15</v>
      </c>
    </row>
    <row r="18" customFormat="false" ht="17.15" hidden="false" customHeight="false" outlineLevel="0" collapsed="false">
      <c r="A18" s="3"/>
      <c r="B18" s="8" t="str">
        <f aca="false">HYPERLINK("#'8 간편장부'!A1","8 간편장부")</f>
        <v>8 간편장부</v>
      </c>
      <c r="C18" s="3" t="s">
        <v>16</v>
      </c>
    </row>
    <row r="19" customFormat="false" ht="17.15" hidden="false" customHeight="false" outlineLevel="0" collapsed="false">
      <c r="A19" s="3"/>
      <c r="B19" s="8" t="str">
        <f aca="false">HYPERLINK("#'9 세금미리보기'!A1","9 세금미리보기")</f>
        <v>9 세금미리보기</v>
      </c>
      <c r="C19" s="3" t="s">
        <v>17</v>
      </c>
    </row>
    <row r="20" customFormat="false" ht="15" hidden="false" customHeight="false" outlineLevel="0" collapsed="false">
      <c r="A20" s="3"/>
      <c r="B20" s="3"/>
      <c r="C20" s="3"/>
    </row>
    <row r="21" customFormat="false" ht="15" hidden="false" customHeight="false" outlineLevel="0" collapsed="false">
      <c r="A21" s="3"/>
      <c r="B21" s="4" t="s">
        <v>18</v>
      </c>
      <c r="C21" s="3"/>
    </row>
    <row r="22" customFormat="false" ht="30" hidden="false" customHeight="true" outlineLevel="0" collapsed="false">
      <c r="A22" s="3"/>
      <c r="B22" s="3"/>
      <c r="C22" s="9" t="s">
        <v>19</v>
      </c>
    </row>
    <row r="23" customFormat="false" ht="30" hidden="false" customHeight="true" outlineLevel="0" collapsed="false">
      <c r="A23" s="3"/>
      <c r="B23" s="3"/>
      <c r="C23" s="9" t="s">
        <v>20</v>
      </c>
    </row>
    <row r="24" customFormat="false" ht="30" hidden="false" customHeight="true" outlineLevel="0" collapsed="false">
      <c r="A24" s="3"/>
      <c r="B24" s="3"/>
      <c r="C24" s="9" t="s">
        <v>21</v>
      </c>
    </row>
    <row r="25" customFormat="false" ht="30" hidden="false" customHeight="true" outlineLevel="0" collapsed="false">
      <c r="A25" s="3"/>
      <c r="B25" s="3"/>
      <c r="C25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9" min="9" style="0" width="16"/>
    <col collapsed="false" customWidth="true" hidden="false" outlineLevel="0" max="10" min="10" style="0" width="15"/>
  </cols>
  <sheetData>
    <row r="1" customFormat="false" ht="27.75" hidden="false" customHeight="true" outlineLevel="0" collapsed="false">
      <c r="A1" s="10" t="s">
        <v>23</v>
      </c>
    </row>
    <row r="2" customFormat="false" ht="15" hidden="false" customHeight="false" outlineLevel="0" collapsed="false">
      <c r="A2" s="11" t="s">
        <v>24</v>
      </c>
    </row>
    <row r="3" customFormat="false" ht="15" hidden="false" customHeight="false" outlineLevel="0" collapsed="false">
      <c r="A3" s="12" t="s">
        <v>25</v>
      </c>
      <c r="B3" s="13"/>
    </row>
    <row r="5" customFormat="false" ht="30" hidden="false" customHeight="true" outlineLevel="0" collapsed="false">
      <c r="A5" s="14" t="s">
        <v>26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I5" s="15" t="s">
        <v>33</v>
      </c>
    </row>
    <row r="6" customFormat="false" ht="15" hidden="false" customHeight="false" outlineLevel="0" collapsed="false">
      <c r="A6" s="16" t="str">
        <f aca="false">IF(B3="","",B3)</f>
        <v/>
      </c>
      <c r="B6" s="17" t="str">
        <f aca="false">IF(A6="","",CHOOSE(WEEKDAY(A6),"일","월","화","수","목","금","토"))</f>
        <v/>
      </c>
      <c r="C6" s="18"/>
      <c r="D6" s="19"/>
      <c r="E6" s="20" t="str">
        <f aca="false">IF(OR(C6="",D6="",D6=0),"",C6/D6)</f>
        <v/>
      </c>
      <c r="F6" s="5"/>
      <c r="G6" s="5"/>
      <c r="I6" s="21" t="s">
        <v>34</v>
      </c>
      <c r="J6" s="22" t="n">
        <f aca="false">SUM(C6:C36)</f>
        <v>0</v>
      </c>
    </row>
    <row r="7" customFormat="false" ht="15" hidden="false" customHeight="false" outlineLevel="0" collapsed="false">
      <c r="A7" s="16" t="str">
        <f aca="false">IF(A6="","",IF(MONTH(A6+1)=MONTH($B$3),A6+1,""))</f>
        <v/>
      </c>
      <c r="B7" s="17" t="str">
        <f aca="false">IF(A7="","",CHOOSE(WEEKDAY(A7),"일","월","화","수","목","금","토"))</f>
        <v/>
      </c>
      <c r="C7" s="18"/>
      <c r="D7" s="19"/>
      <c r="E7" s="20" t="str">
        <f aca="false">IF(OR(C7="",D7="",D7=0),"",C7/D7)</f>
        <v/>
      </c>
      <c r="F7" s="5"/>
      <c r="G7" s="5"/>
      <c r="I7" s="21" t="s">
        <v>35</v>
      </c>
      <c r="J7" s="23" t="n">
        <f aca="false">COUNT(C6:C36)</f>
        <v>0</v>
      </c>
    </row>
    <row r="8" customFormat="false" ht="15" hidden="false" customHeight="false" outlineLevel="0" collapsed="false">
      <c r="A8" s="16" t="str">
        <f aca="false">IF(A7="","",IF(MONTH(A7+1)=MONTH($B$3),A7+1,""))</f>
        <v/>
      </c>
      <c r="B8" s="17" t="str">
        <f aca="false">IF(A8="","",CHOOSE(WEEKDAY(A8),"일","월","화","수","목","금","토"))</f>
        <v/>
      </c>
      <c r="C8" s="18"/>
      <c r="D8" s="19"/>
      <c r="E8" s="20" t="str">
        <f aca="false">IF(OR(C8="",D8="",D8=0),"",C8/D8)</f>
        <v/>
      </c>
      <c r="F8" s="5"/>
      <c r="G8" s="5"/>
      <c r="I8" s="21" t="s">
        <v>36</v>
      </c>
      <c r="J8" s="20" t="n">
        <f aca="false">IFERROR(AVERAGE(C6:C36),0)</f>
        <v>0</v>
      </c>
    </row>
    <row r="9" customFormat="false" ht="15" hidden="false" customHeight="false" outlineLevel="0" collapsed="false">
      <c r="A9" s="16" t="str">
        <f aca="false">IF(A8="","",IF(MONTH(A8+1)=MONTH($B$3),A8+1,""))</f>
        <v/>
      </c>
      <c r="B9" s="17" t="str">
        <f aca="false">IF(A9="","",CHOOSE(WEEKDAY(A9),"일","월","화","수","목","금","토"))</f>
        <v/>
      </c>
      <c r="C9" s="18"/>
      <c r="D9" s="19"/>
      <c r="E9" s="20" t="str">
        <f aca="false">IF(OR(C9="",D9="",D9=0),"",C9/D9)</f>
        <v/>
      </c>
      <c r="F9" s="5"/>
      <c r="G9" s="5"/>
      <c r="I9" s="21" t="s">
        <v>37</v>
      </c>
      <c r="J9" s="24" t="n">
        <f aca="false">SUM(D6:D36)</f>
        <v>0</v>
      </c>
    </row>
    <row r="10" customFormat="false" ht="15" hidden="false" customHeight="false" outlineLevel="0" collapsed="false">
      <c r="A10" s="16" t="str">
        <f aca="false">IF(A9="","",IF(MONTH(A9+1)=MONTH($B$3),A9+1,""))</f>
        <v/>
      </c>
      <c r="B10" s="17" t="str">
        <f aca="false">IF(A10="","",CHOOSE(WEEKDAY(A10),"일","월","화","수","목","금","토"))</f>
        <v/>
      </c>
      <c r="C10" s="18"/>
      <c r="D10" s="19"/>
      <c r="E10" s="20" t="str">
        <f aca="false">IF(OR(C10="",D10="",D10=0),"",C10/D10)</f>
        <v/>
      </c>
      <c r="F10" s="5"/>
      <c r="G10" s="5"/>
      <c r="I10" s="21" t="s">
        <v>38</v>
      </c>
      <c r="J10" s="25" t="n">
        <f aca="false">IFERROR(AVERAGE(D6:D36),0)</f>
        <v>0</v>
      </c>
    </row>
    <row r="11" customFormat="false" ht="15" hidden="false" customHeight="false" outlineLevel="0" collapsed="false">
      <c r="A11" s="16" t="str">
        <f aca="false">IF(A10="","",IF(MONTH(A10+1)=MONTH($B$3),A10+1,""))</f>
        <v/>
      </c>
      <c r="B11" s="17" t="str">
        <f aca="false">IF(A11="","",CHOOSE(WEEKDAY(A11),"일","월","화","수","목","금","토"))</f>
        <v/>
      </c>
      <c r="C11" s="18"/>
      <c r="D11" s="19"/>
      <c r="E11" s="20" t="str">
        <f aca="false">IF(OR(C11="",D11="",D11=0),"",C11/D11)</f>
        <v/>
      </c>
      <c r="F11" s="5"/>
      <c r="G11" s="5"/>
      <c r="I11" s="21" t="s">
        <v>39</v>
      </c>
      <c r="J11" s="20" t="n">
        <f aca="false">IFERROR(J6/J9,0)</f>
        <v>0</v>
      </c>
    </row>
    <row r="12" customFormat="false" ht="15" hidden="false" customHeight="false" outlineLevel="0" collapsed="false">
      <c r="A12" s="16" t="str">
        <f aca="false">IF(A11="","",IF(MONTH(A11+1)=MONTH($B$3),A11+1,""))</f>
        <v/>
      </c>
      <c r="B12" s="17" t="str">
        <f aca="false">IF(A12="","",CHOOSE(WEEKDAY(A12),"일","월","화","수","목","금","토"))</f>
        <v/>
      </c>
      <c r="C12" s="18"/>
      <c r="D12" s="19"/>
      <c r="E12" s="20" t="str">
        <f aca="false">IF(OR(C12="",D12="",D12=0),"",C12/D12)</f>
        <v/>
      </c>
      <c r="F12" s="5"/>
      <c r="G12" s="5"/>
    </row>
    <row r="13" customFormat="false" ht="15" hidden="false" customHeight="false" outlineLevel="0" collapsed="false">
      <c r="A13" s="16" t="str">
        <f aca="false">IF(A12="","",IF(MONTH(A12+1)=MONTH($B$3),A12+1,""))</f>
        <v/>
      </c>
      <c r="B13" s="17" t="str">
        <f aca="false">IF(A13="","",CHOOSE(WEEKDAY(A13),"일","월","화","수","목","금","토"))</f>
        <v/>
      </c>
      <c r="C13" s="18"/>
      <c r="D13" s="19"/>
      <c r="E13" s="20" t="str">
        <f aca="false">IF(OR(C13="",D13="",D13=0),"",C13/D13)</f>
        <v/>
      </c>
      <c r="F13" s="5"/>
      <c r="G13" s="5"/>
      <c r="I13" s="15" t="s">
        <v>40</v>
      </c>
    </row>
    <row r="14" customFormat="false" ht="30" hidden="false" customHeight="true" outlineLevel="0" collapsed="false">
      <c r="A14" s="16" t="str">
        <f aca="false">IF(A13="","",IF(MONTH(A13+1)=MONTH($B$3),A13+1,""))</f>
        <v/>
      </c>
      <c r="B14" s="17" t="str">
        <f aca="false">IF(A14="","",CHOOSE(WEEKDAY(A14),"일","월","화","수","목","금","토"))</f>
        <v/>
      </c>
      <c r="C14" s="18"/>
      <c r="D14" s="19"/>
      <c r="E14" s="20" t="str">
        <f aca="false">IF(OR(C14="",D14="",D14=0),"",C14/D14)</f>
        <v/>
      </c>
      <c r="F14" s="5"/>
      <c r="G14" s="5"/>
      <c r="I14" s="14" t="s">
        <v>27</v>
      </c>
      <c r="J14" s="14" t="s">
        <v>41</v>
      </c>
    </row>
    <row r="15" customFormat="false" ht="15" hidden="false" customHeight="false" outlineLevel="0" collapsed="false">
      <c r="A15" s="16" t="str">
        <f aca="false">IF(A14="","",IF(MONTH(A14+1)=MONTH($B$3),A14+1,""))</f>
        <v/>
      </c>
      <c r="B15" s="17" t="str">
        <f aca="false">IF(A15="","",CHOOSE(WEEKDAY(A15),"일","월","화","수","목","금","토"))</f>
        <v/>
      </c>
      <c r="C15" s="18"/>
      <c r="D15" s="19"/>
      <c r="E15" s="20" t="str">
        <f aca="false">IF(OR(C15="",D15="",D15=0),"",C15/D15)</f>
        <v/>
      </c>
      <c r="F15" s="5"/>
      <c r="G15" s="5"/>
      <c r="I15" s="26" t="s">
        <v>42</v>
      </c>
      <c r="J15" s="20" t="n">
        <f aca="false">IFERROR(AVERAGEIFS($C$6:$C$36,$B$6:$B$36,I15),0)</f>
        <v>0</v>
      </c>
    </row>
    <row r="16" customFormat="false" ht="15" hidden="false" customHeight="false" outlineLevel="0" collapsed="false">
      <c r="A16" s="16" t="str">
        <f aca="false">IF(A15="","",IF(MONTH(A15+1)=MONTH($B$3),A15+1,""))</f>
        <v/>
      </c>
      <c r="B16" s="17" t="str">
        <f aca="false">IF(A16="","",CHOOSE(WEEKDAY(A16),"일","월","화","수","목","금","토"))</f>
        <v/>
      </c>
      <c r="C16" s="18"/>
      <c r="D16" s="19"/>
      <c r="E16" s="20" t="str">
        <f aca="false">IF(OR(C16="",D16="",D16=0),"",C16/D16)</f>
        <v/>
      </c>
      <c r="F16" s="5"/>
      <c r="G16" s="5"/>
      <c r="I16" s="26" t="s">
        <v>43</v>
      </c>
      <c r="J16" s="20" t="n">
        <f aca="false">IFERROR(AVERAGEIFS($C$6:$C$36,$B$6:$B$36,I16),0)</f>
        <v>0</v>
      </c>
    </row>
    <row r="17" customFormat="false" ht="15" hidden="false" customHeight="false" outlineLevel="0" collapsed="false">
      <c r="A17" s="16" t="str">
        <f aca="false">IF(A16="","",IF(MONTH(A16+1)=MONTH($B$3),A16+1,""))</f>
        <v/>
      </c>
      <c r="B17" s="17" t="str">
        <f aca="false">IF(A17="","",CHOOSE(WEEKDAY(A17),"일","월","화","수","목","금","토"))</f>
        <v/>
      </c>
      <c r="C17" s="18"/>
      <c r="D17" s="19"/>
      <c r="E17" s="20" t="str">
        <f aca="false">IF(OR(C17="",D17="",D17=0),"",C17/D17)</f>
        <v/>
      </c>
      <c r="F17" s="5"/>
      <c r="G17" s="5"/>
      <c r="I17" s="26" t="s">
        <v>44</v>
      </c>
      <c r="J17" s="20" t="n">
        <f aca="false">IFERROR(AVERAGEIFS($C$6:$C$36,$B$6:$B$36,I17),0)</f>
        <v>0</v>
      </c>
    </row>
    <row r="18" customFormat="false" ht="15" hidden="false" customHeight="false" outlineLevel="0" collapsed="false">
      <c r="A18" s="16" t="str">
        <f aca="false">IF(A17="","",IF(MONTH(A17+1)=MONTH($B$3),A17+1,""))</f>
        <v/>
      </c>
      <c r="B18" s="17" t="str">
        <f aca="false">IF(A18="","",CHOOSE(WEEKDAY(A18),"일","월","화","수","목","금","토"))</f>
        <v/>
      </c>
      <c r="C18" s="18"/>
      <c r="D18" s="19"/>
      <c r="E18" s="20" t="str">
        <f aca="false">IF(OR(C18="",D18="",D18=0),"",C18/D18)</f>
        <v/>
      </c>
      <c r="F18" s="5"/>
      <c r="G18" s="5"/>
      <c r="I18" s="26" t="s">
        <v>45</v>
      </c>
      <c r="J18" s="20" t="n">
        <f aca="false">IFERROR(AVERAGEIFS($C$6:$C$36,$B$6:$B$36,I18),0)</f>
        <v>0</v>
      </c>
    </row>
    <row r="19" customFormat="false" ht="15" hidden="false" customHeight="false" outlineLevel="0" collapsed="false">
      <c r="A19" s="16" t="str">
        <f aca="false">IF(A18="","",IF(MONTH(A18+1)=MONTH($B$3),A18+1,""))</f>
        <v/>
      </c>
      <c r="B19" s="17" t="str">
        <f aca="false">IF(A19="","",CHOOSE(WEEKDAY(A19),"일","월","화","수","목","금","토"))</f>
        <v/>
      </c>
      <c r="C19" s="18"/>
      <c r="D19" s="19"/>
      <c r="E19" s="20" t="str">
        <f aca="false">IF(OR(C19="",D19="",D19=0),"",C19/D19)</f>
        <v/>
      </c>
      <c r="F19" s="5"/>
      <c r="G19" s="5"/>
      <c r="I19" s="26" t="s">
        <v>46</v>
      </c>
      <c r="J19" s="20" t="n">
        <f aca="false">IFERROR(AVERAGEIFS($C$6:$C$36,$B$6:$B$36,I19),0)</f>
        <v>0</v>
      </c>
    </row>
    <row r="20" customFormat="false" ht="15" hidden="false" customHeight="false" outlineLevel="0" collapsed="false">
      <c r="A20" s="16" t="str">
        <f aca="false">IF(A19="","",IF(MONTH(A19+1)=MONTH($B$3),A19+1,""))</f>
        <v/>
      </c>
      <c r="B20" s="17" t="str">
        <f aca="false">IF(A20="","",CHOOSE(WEEKDAY(A20),"일","월","화","수","목","금","토"))</f>
        <v/>
      </c>
      <c r="C20" s="18"/>
      <c r="D20" s="19"/>
      <c r="E20" s="20" t="str">
        <f aca="false">IF(OR(C20="",D20="",D20=0),"",C20/D20)</f>
        <v/>
      </c>
      <c r="F20" s="5"/>
      <c r="G20" s="5"/>
      <c r="I20" s="26" t="s">
        <v>47</v>
      </c>
      <c r="J20" s="20" t="n">
        <f aca="false">IFERROR(AVERAGEIFS($C$6:$C$36,$B$6:$B$36,I20),0)</f>
        <v>0</v>
      </c>
    </row>
    <row r="21" customFormat="false" ht="15" hidden="false" customHeight="false" outlineLevel="0" collapsed="false">
      <c r="A21" s="16" t="str">
        <f aca="false">IF(A20="","",IF(MONTH(A20+1)=MONTH($B$3),A20+1,""))</f>
        <v/>
      </c>
      <c r="B21" s="17" t="str">
        <f aca="false">IF(A21="","",CHOOSE(WEEKDAY(A21),"일","월","화","수","목","금","토"))</f>
        <v/>
      </c>
      <c r="C21" s="18"/>
      <c r="D21" s="19"/>
      <c r="E21" s="20" t="str">
        <f aca="false">IF(OR(C21="",D21="",D21=0),"",C21/D21)</f>
        <v/>
      </c>
      <c r="F21" s="5"/>
      <c r="G21" s="5"/>
      <c r="I21" s="26" t="s">
        <v>48</v>
      </c>
      <c r="J21" s="20" t="n">
        <f aca="false">IFERROR(AVERAGEIFS($C$6:$C$36,$B$6:$B$36,I21),0)</f>
        <v>0</v>
      </c>
    </row>
    <row r="22" customFormat="false" ht="15" hidden="false" customHeight="false" outlineLevel="0" collapsed="false">
      <c r="A22" s="16" t="str">
        <f aca="false">IF(A21="","",IF(MONTH(A21+1)=MONTH($B$3),A21+1,""))</f>
        <v/>
      </c>
      <c r="B22" s="17" t="str">
        <f aca="false">IF(A22="","",CHOOSE(WEEKDAY(A22),"일","월","화","수","목","금","토"))</f>
        <v/>
      </c>
      <c r="C22" s="18"/>
      <c r="D22" s="19"/>
      <c r="E22" s="20" t="str">
        <f aca="false">IF(OR(C22="",D22="",D22=0),"",C22/D22)</f>
        <v/>
      </c>
      <c r="F22" s="5"/>
      <c r="G22" s="5"/>
      <c r="I22" s="27" t="s">
        <v>49</v>
      </c>
    </row>
    <row r="23" customFormat="false" ht="15" hidden="false" customHeight="false" outlineLevel="0" collapsed="false">
      <c r="A23" s="16" t="str">
        <f aca="false">IF(A22="","",IF(MONTH(A22+1)=MONTH($B$3),A22+1,""))</f>
        <v/>
      </c>
      <c r="B23" s="17" t="str">
        <f aca="false">IF(A23="","",CHOOSE(WEEKDAY(A23),"일","월","화","수","목","금","토"))</f>
        <v/>
      </c>
      <c r="C23" s="18"/>
      <c r="D23" s="19"/>
      <c r="E23" s="20" t="str">
        <f aca="false">IF(OR(C23="",D23="",D23=0),"",C23/D23)</f>
        <v/>
      </c>
      <c r="F23" s="5"/>
      <c r="G23" s="5"/>
    </row>
    <row r="24" customFormat="false" ht="15" hidden="false" customHeight="false" outlineLevel="0" collapsed="false">
      <c r="A24" s="16" t="str">
        <f aca="false">IF(A23="","",IF(MONTH(A23+1)=MONTH($B$3),A23+1,""))</f>
        <v/>
      </c>
      <c r="B24" s="17" t="str">
        <f aca="false">IF(A24="","",CHOOSE(WEEKDAY(A24),"일","월","화","수","목","금","토"))</f>
        <v/>
      </c>
      <c r="C24" s="18"/>
      <c r="D24" s="19"/>
      <c r="E24" s="20" t="str">
        <f aca="false">IF(OR(C24="",D24="",D24=0),"",C24/D24)</f>
        <v/>
      </c>
      <c r="F24" s="5"/>
      <c r="G24" s="5"/>
    </row>
    <row r="25" customFormat="false" ht="15" hidden="false" customHeight="false" outlineLevel="0" collapsed="false">
      <c r="A25" s="16" t="str">
        <f aca="false">IF(A24="","",IF(MONTH(A24+1)=MONTH($B$3),A24+1,""))</f>
        <v/>
      </c>
      <c r="B25" s="17" t="str">
        <f aca="false">IF(A25="","",CHOOSE(WEEKDAY(A25),"일","월","화","수","목","금","토"))</f>
        <v/>
      </c>
      <c r="C25" s="18"/>
      <c r="D25" s="19"/>
      <c r="E25" s="20" t="str">
        <f aca="false">IF(OR(C25="",D25="",D25=0),"",C25/D25)</f>
        <v/>
      </c>
      <c r="F25" s="5"/>
      <c r="G25" s="5"/>
    </row>
    <row r="26" customFormat="false" ht="15" hidden="false" customHeight="false" outlineLevel="0" collapsed="false">
      <c r="A26" s="16" t="str">
        <f aca="false">IF(A25="","",IF(MONTH(A25+1)=MONTH($B$3),A25+1,""))</f>
        <v/>
      </c>
      <c r="B26" s="17" t="str">
        <f aca="false">IF(A26="","",CHOOSE(WEEKDAY(A26),"일","월","화","수","목","금","토"))</f>
        <v/>
      </c>
      <c r="C26" s="18"/>
      <c r="D26" s="19"/>
      <c r="E26" s="20" t="str">
        <f aca="false">IF(OR(C26="",D26="",D26=0),"",C26/D26)</f>
        <v/>
      </c>
      <c r="F26" s="5"/>
      <c r="G26" s="5"/>
    </row>
    <row r="27" customFormat="false" ht="15" hidden="false" customHeight="false" outlineLevel="0" collapsed="false">
      <c r="A27" s="16" t="str">
        <f aca="false">IF(A26="","",IF(MONTH(A26+1)=MONTH($B$3),A26+1,""))</f>
        <v/>
      </c>
      <c r="B27" s="17" t="str">
        <f aca="false">IF(A27="","",CHOOSE(WEEKDAY(A27),"일","월","화","수","목","금","토"))</f>
        <v/>
      </c>
      <c r="C27" s="18"/>
      <c r="D27" s="19"/>
      <c r="E27" s="20" t="str">
        <f aca="false">IF(OR(C27="",D27="",D27=0),"",C27/D27)</f>
        <v/>
      </c>
      <c r="F27" s="5"/>
      <c r="G27" s="5"/>
    </row>
    <row r="28" customFormat="false" ht="15" hidden="false" customHeight="false" outlineLevel="0" collapsed="false">
      <c r="A28" s="16" t="str">
        <f aca="false">IF(A27="","",IF(MONTH(A27+1)=MONTH($B$3),A27+1,""))</f>
        <v/>
      </c>
      <c r="B28" s="17" t="str">
        <f aca="false">IF(A28="","",CHOOSE(WEEKDAY(A28),"일","월","화","수","목","금","토"))</f>
        <v/>
      </c>
      <c r="C28" s="18"/>
      <c r="D28" s="19"/>
      <c r="E28" s="20" t="str">
        <f aca="false">IF(OR(C28="",D28="",D28=0),"",C28/D28)</f>
        <v/>
      </c>
      <c r="F28" s="5"/>
      <c r="G28" s="5"/>
    </row>
    <row r="29" customFormat="false" ht="15" hidden="false" customHeight="false" outlineLevel="0" collapsed="false">
      <c r="A29" s="16" t="str">
        <f aca="false">IF(A28="","",IF(MONTH(A28+1)=MONTH($B$3),A28+1,""))</f>
        <v/>
      </c>
      <c r="B29" s="17" t="str">
        <f aca="false">IF(A29="","",CHOOSE(WEEKDAY(A29),"일","월","화","수","목","금","토"))</f>
        <v/>
      </c>
      <c r="C29" s="18"/>
      <c r="D29" s="19"/>
      <c r="E29" s="20" t="str">
        <f aca="false">IF(OR(C29="",D29="",D29=0),"",C29/D29)</f>
        <v/>
      </c>
      <c r="F29" s="5"/>
      <c r="G29" s="5"/>
    </row>
    <row r="30" customFormat="false" ht="15" hidden="false" customHeight="false" outlineLevel="0" collapsed="false">
      <c r="A30" s="16" t="str">
        <f aca="false">IF(A29="","",IF(MONTH(A29+1)=MONTH($B$3),A29+1,""))</f>
        <v/>
      </c>
      <c r="B30" s="17" t="str">
        <f aca="false">IF(A30="","",CHOOSE(WEEKDAY(A30),"일","월","화","수","목","금","토"))</f>
        <v/>
      </c>
      <c r="C30" s="18"/>
      <c r="D30" s="19"/>
      <c r="E30" s="20" t="str">
        <f aca="false">IF(OR(C30="",D30="",D30=0),"",C30/D30)</f>
        <v/>
      </c>
      <c r="F30" s="5"/>
      <c r="G30" s="5"/>
    </row>
    <row r="31" customFormat="false" ht="15" hidden="false" customHeight="false" outlineLevel="0" collapsed="false">
      <c r="A31" s="16" t="str">
        <f aca="false">IF(A30="","",IF(MONTH(A30+1)=MONTH($B$3),A30+1,""))</f>
        <v/>
      </c>
      <c r="B31" s="17" t="str">
        <f aca="false">IF(A31="","",CHOOSE(WEEKDAY(A31),"일","월","화","수","목","금","토"))</f>
        <v/>
      </c>
      <c r="C31" s="18"/>
      <c r="D31" s="19"/>
      <c r="E31" s="20" t="str">
        <f aca="false">IF(OR(C31="",D31="",D31=0),"",C31/D31)</f>
        <v/>
      </c>
      <c r="F31" s="5"/>
      <c r="G31" s="5"/>
    </row>
    <row r="32" customFormat="false" ht="15" hidden="false" customHeight="false" outlineLevel="0" collapsed="false">
      <c r="A32" s="16" t="str">
        <f aca="false">IF(A31="","",IF(MONTH(A31+1)=MONTH($B$3),A31+1,""))</f>
        <v/>
      </c>
      <c r="B32" s="17" t="str">
        <f aca="false">IF(A32="","",CHOOSE(WEEKDAY(A32),"일","월","화","수","목","금","토"))</f>
        <v/>
      </c>
      <c r="C32" s="18"/>
      <c r="D32" s="19"/>
      <c r="E32" s="20" t="str">
        <f aca="false">IF(OR(C32="",D32="",D32=0),"",C32/D32)</f>
        <v/>
      </c>
      <c r="F32" s="5"/>
      <c r="G32" s="5"/>
    </row>
    <row r="33" customFormat="false" ht="15" hidden="false" customHeight="false" outlineLevel="0" collapsed="false">
      <c r="A33" s="16" t="str">
        <f aca="false">IF(A32="","",IF(MONTH(A32+1)=MONTH($B$3),A32+1,""))</f>
        <v/>
      </c>
      <c r="B33" s="17" t="str">
        <f aca="false">IF(A33="","",CHOOSE(WEEKDAY(A33),"일","월","화","수","목","금","토"))</f>
        <v/>
      </c>
      <c r="C33" s="18"/>
      <c r="D33" s="19"/>
      <c r="E33" s="20" t="str">
        <f aca="false">IF(OR(C33="",D33="",D33=0),"",C33/D33)</f>
        <v/>
      </c>
      <c r="F33" s="5"/>
      <c r="G33" s="5"/>
    </row>
    <row r="34" customFormat="false" ht="15" hidden="false" customHeight="false" outlineLevel="0" collapsed="false">
      <c r="A34" s="16" t="str">
        <f aca="false">IF(A33="","",IF(MONTH(A33+1)=MONTH($B$3),A33+1,""))</f>
        <v/>
      </c>
      <c r="B34" s="17" t="str">
        <f aca="false">IF(A34="","",CHOOSE(WEEKDAY(A34),"일","월","화","수","목","금","토"))</f>
        <v/>
      </c>
      <c r="C34" s="18"/>
      <c r="D34" s="19"/>
      <c r="E34" s="20" t="str">
        <f aca="false">IF(OR(C34="",D34="",D34=0),"",C34/D34)</f>
        <v/>
      </c>
      <c r="F34" s="5"/>
      <c r="G34" s="5"/>
    </row>
    <row r="35" customFormat="false" ht="15" hidden="false" customHeight="false" outlineLevel="0" collapsed="false">
      <c r="A35" s="16" t="str">
        <f aca="false">IF(A34="","",IF(MONTH(A34+1)=MONTH($B$3),A34+1,""))</f>
        <v/>
      </c>
      <c r="B35" s="17" t="str">
        <f aca="false">IF(A35="","",CHOOSE(WEEKDAY(A35),"일","월","화","수","목","금","토"))</f>
        <v/>
      </c>
      <c r="C35" s="18"/>
      <c r="D35" s="19"/>
      <c r="E35" s="20" t="str">
        <f aca="false">IF(OR(C35="",D35="",D35=0),"",C35/D35)</f>
        <v/>
      </c>
      <c r="F35" s="5"/>
      <c r="G35" s="5"/>
    </row>
    <row r="36" customFormat="false" ht="15" hidden="false" customHeight="false" outlineLevel="0" collapsed="false">
      <c r="A36" s="16" t="str">
        <f aca="false">IF(A35="","",IF(MONTH(A35+1)=MONTH($B$3),A35+1,""))</f>
        <v/>
      </c>
      <c r="B36" s="17" t="str">
        <f aca="false">IF(A36="","",CHOOSE(WEEKDAY(A36),"일","월","화","수","목","금","토"))</f>
        <v/>
      </c>
      <c r="C36" s="18"/>
      <c r="D36" s="19"/>
      <c r="E36" s="20" t="str">
        <f aca="false">IF(OR(C36="",D36="",D36=0),"",C36/D36)</f>
        <v/>
      </c>
      <c r="F36" s="5"/>
      <c r="G3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0" t="s">
        <v>50</v>
      </c>
    </row>
    <row r="2" customFormat="false" ht="15" hidden="false" customHeight="false" outlineLevel="0" collapsed="false">
      <c r="A2" s="11" t="s">
        <v>51</v>
      </c>
    </row>
    <row r="4" customFormat="false" ht="30" hidden="false" customHeight="true" outlineLevel="0" collapsed="false">
      <c r="A4" s="14" t="s">
        <v>52</v>
      </c>
      <c r="B4" s="14" t="s">
        <v>53</v>
      </c>
      <c r="D4" s="14" t="s">
        <v>54</v>
      </c>
      <c r="E4" s="14"/>
    </row>
    <row r="5" customFormat="false" ht="15" hidden="false" customHeight="false" outlineLevel="0" collapsed="false">
      <c r="A5" s="28" t="s">
        <v>55</v>
      </c>
      <c r="B5" s="18"/>
      <c r="D5" s="28" t="s">
        <v>56</v>
      </c>
      <c r="E5" s="20" t="n">
        <f aca="false">B15-B16</f>
        <v>0</v>
      </c>
    </row>
    <row r="6" customFormat="false" ht="15" hidden="false" customHeight="false" outlineLevel="0" collapsed="false">
      <c r="A6" s="28" t="s">
        <v>57</v>
      </c>
      <c r="B6" s="18"/>
      <c r="D6" s="28" t="s">
        <v>58</v>
      </c>
      <c r="E6" s="29" t="n">
        <f aca="false">IFERROR(B16/B15,0)</f>
        <v>0</v>
      </c>
    </row>
    <row r="7" customFormat="false" ht="15" hidden="false" customHeight="false" outlineLevel="0" collapsed="false">
      <c r="A7" s="28" t="s">
        <v>59</v>
      </c>
      <c r="B7" s="18"/>
      <c r="D7" s="28" t="s">
        <v>60</v>
      </c>
      <c r="E7" s="30" t="n">
        <f aca="false">IFERROR(ROUNDUP(B12/E5,0),0)</f>
        <v>0</v>
      </c>
    </row>
    <row r="8" customFormat="false" ht="17.15" hidden="false" customHeight="false" outlineLevel="0" collapsed="false">
      <c r="A8" s="28" t="s">
        <v>61</v>
      </c>
      <c r="B8" s="18"/>
      <c r="D8" s="31" t="s">
        <v>62</v>
      </c>
      <c r="E8" s="32" t="n">
        <f aca="false">IFERROR(ROUNDUP(E7/B17,0),0)</f>
        <v>0</v>
      </c>
    </row>
    <row r="9" customFormat="false" ht="15" hidden="false" customHeight="false" outlineLevel="0" collapsed="false">
      <c r="A9" s="28" t="s">
        <v>63</v>
      </c>
      <c r="B9" s="18"/>
      <c r="D9" s="28" t="s">
        <v>64</v>
      </c>
      <c r="E9" s="20" t="n">
        <f aca="false">E7*B15</f>
        <v>0</v>
      </c>
    </row>
    <row r="10" customFormat="false" ht="15" hidden="false" customHeight="false" outlineLevel="0" collapsed="false">
      <c r="A10" s="28" t="s">
        <v>65</v>
      </c>
      <c r="B10" s="18"/>
      <c r="D10" s="28" t="s">
        <v>66</v>
      </c>
      <c r="E10" s="20" t="n">
        <f aca="false">IFERROR(E9/B17,0)</f>
        <v>0</v>
      </c>
    </row>
    <row r="11" customFormat="false" ht="15" hidden="false" customHeight="false" outlineLevel="0" collapsed="false">
      <c r="A11" s="28" t="s">
        <v>67</v>
      </c>
      <c r="B11" s="18"/>
    </row>
    <row r="12" customFormat="false" ht="15" hidden="false" customHeight="false" outlineLevel="0" collapsed="false">
      <c r="A12" s="31" t="s">
        <v>68</v>
      </c>
      <c r="B12" s="33" t="n">
        <f aca="false">SUM(B5:B11)</f>
        <v>0</v>
      </c>
      <c r="D12" s="27" t="s">
        <v>69</v>
      </c>
    </row>
    <row r="14" customFormat="false" ht="30" hidden="false" customHeight="true" outlineLevel="0" collapsed="false">
      <c r="A14" s="14" t="s">
        <v>70</v>
      </c>
      <c r="B14" s="14" t="s">
        <v>53</v>
      </c>
      <c r="D14" s="34" t="s">
        <v>71</v>
      </c>
    </row>
    <row r="15" customFormat="false" ht="30" hidden="false" customHeight="true" outlineLevel="0" collapsed="false">
      <c r="A15" s="28" t="s">
        <v>72</v>
      </c>
      <c r="B15" s="18"/>
      <c r="D15" s="14" t="s">
        <v>73</v>
      </c>
      <c r="E15" s="14" t="s">
        <v>62</v>
      </c>
    </row>
    <row r="16" customFormat="false" ht="15" hidden="false" customHeight="false" outlineLevel="0" collapsed="false">
      <c r="A16" s="28" t="s">
        <v>74</v>
      </c>
      <c r="B16" s="18"/>
      <c r="D16" s="35" t="n">
        <v>-1000</v>
      </c>
      <c r="E16" s="30" t="str">
        <f aca="false">IF(OR($B$15="",$B$17=""),"",IF(($B$15+D16)-$B$16&lt;=0,"팔수록 손해",ROUNDUP(ROUNDUP($B$12/(($B$15+D16)-$B$16),0)/$B$17,0)))</f>
        <v/>
      </c>
    </row>
    <row r="17" customFormat="false" ht="15" hidden="false" customHeight="false" outlineLevel="0" collapsed="false">
      <c r="A17" s="28" t="s">
        <v>75</v>
      </c>
      <c r="B17" s="36" t="n">
        <v>25</v>
      </c>
      <c r="D17" s="35" t="n">
        <v>-500</v>
      </c>
      <c r="E17" s="30" t="str">
        <f aca="false">IF(OR($B$15="",$B$17=""),"",IF(($B$15+D17)-$B$16&lt;=0,"팔수록 손해",ROUNDUP(ROUNDUP($B$12/(($B$15+D17)-$B$16),0)/$B$17,0)))</f>
        <v/>
      </c>
    </row>
    <row r="18" customFormat="false" ht="15" hidden="false" customHeight="false" outlineLevel="0" collapsed="false">
      <c r="D18" s="35" t="n">
        <v>0</v>
      </c>
      <c r="E18" s="30" t="str">
        <f aca="false">IF(OR($B$15="",$B$17=""),"",IF(($B$15+D18)-$B$16&lt;=0,"팔수록 손해",ROUNDUP(ROUNDUP($B$12/(($B$15+D18)-$B$16),0)/$B$17,0)))</f>
        <v/>
      </c>
    </row>
    <row r="19" customFormat="false" ht="15" hidden="false" customHeight="false" outlineLevel="0" collapsed="false">
      <c r="D19" s="35" t="n">
        <v>500</v>
      </c>
      <c r="E19" s="30" t="str">
        <f aca="false">IF(OR($B$15="",$B$17=""),"",IF(($B$15+D19)-$B$16&lt;=0,"팔수록 손해",ROUNDUP(ROUNDUP($B$12/(($B$15+D19)-$B$16),0)/$B$17,0)))</f>
        <v/>
      </c>
    </row>
    <row r="20" customFormat="false" ht="15" hidden="false" customHeight="false" outlineLevel="0" collapsed="false">
      <c r="D20" s="35" t="n">
        <v>1000</v>
      </c>
      <c r="E20" s="30" t="str">
        <f aca="false">IF(OR($B$15="",$B$17=""),"",IF(($B$15+D20)-$B$16&lt;=0,"팔수록 손해",ROUNDUP(ROUNDUP($B$12/(($B$15+D20)-$B$16),0)/$B$17,0)))</f>
        <v/>
      </c>
    </row>
    <row r="21" customFormat="false" ht="15" hidden="false" customHeight="false" outlineLevel="0" collapsed="false">
      <c r="D21" s="27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27.75" hidden="false" customHeight="true" outlineLevel="0" collapsed="false">
      <c r="A1" s="10" t="s">
        <v>77</v>
      </c>
    </row>
    <row r="2" customFormat="false" ht="15" hidden="false" customHeight="false" outlineLevel="0" collapsed="false">
      <c r="A2" s="11" t="s">
        <v>78</v>
      </c>
    </row>
    <row r="4" customFormat="false" ht="30" hidden="false" customHeight="true" outlineLevel="0" collapsed="false">
      <c r="A4" s="14" t="s">
        <v>79</v>
      </c>
      <c r="B4" s="14" t="s">
        <v>80</v>
      </c>
      <c r="C4" s="14" t="s">
        <v>81</v>
      </c>
      <c r="D4" s="14" t="s">
        <v>82</v>
      </c>
      <c r="E4" s="14" t="s">
        <v>83</v>
      </c>
      <c r="F4" s="14" t="s">
        <v>84</v>
      </c>
      <c r="G4" s="14" t="s">
        <v>85</v>
      </c>
      <c r="H4" s="14" t="s">
        <v>86</v>
      </c>
      <c r="I4" s="14" t="s">
        <v>87</v>
      </c>
      <c r="J4" s="14" t="s">
        <v>88</v>
      </c>
      <c r="K4" s="14" t="s">
        <v>89</v>
      </c>
      <c r="L4" s="14" t="s">
        <v>90</v>
      </c>
    </row>
    <row r="5" customFormat="false" ht="15" hidden="false" customHeight="false" outlineLevel="0" collapsed="false">
      <c r="A5" s="5"/>
      <c r="B5" s="18"/>
      <c r="C5" s="18"/>
      <c r="D5" s="20" t="str">
        <f aca="false">IF(A5="","",B5+C5)</f>
        <v/>
      </c>
      <c r="E5" s="37"/>
      <c r="F5" s="22" t="str">
        <f aca="false">IF(OR(A5="",E5="",E5=0),"",ROUNDUP(D5/E5,-2))</f>
        <v/>
      </c>
      <c r="G5" s="18"/>
      <c r="H5" s="29" t="str">
        <f aca="false">IF(OR(A5="",G5="",G5=0),"",D5/G5)</f>
        <v/>
      </c>
      <c r="I5" s="20" t="str">
        <f aca="false">IF(OR(A5="",G5=""),"",G5-D5)</f>
        <v/>
      </c>
      <c r="J5" s="37"/>
      <c r="K5" s="20" t="str">
        <f aca="false">IF(OR(A5="",G5=""),"",G5*(1-J5)-D5)</f>
        <v/>
      </c>
      <c r="L5" s="38" t="str">
        <f aca="false">IF(OR(A5="",G5="",F5=""),"",IF(G5&lt;F5,"가격 점검 필요",IF(K5&lt;=0,"배달은 손해","괜찮음")))</f>
        <v/>
      </c>
    </row>
    <row r="6" customFormat="false" ht="15" hidden="false" customHeight="false" outlineLevel="0" collapsed="false">
      <c r="A6" s="5"/>
      <c r="B6" s="18"/>
      <c r="C6" s="18"/>
      <c r="D6" s="20" t="str">
        <f aca="false">IF(A6="","",B6+C6)</f>
        <v/>
      </c>
      <c r="E6" s="37"/>
      <c r="F6" s="22" t="str">
        <f aca="false">IF(OR(A6="",E6="",E6=0),"",ROUNDUP(D6/E6,-2))</f>
        <v/>
      </c>
      <c r="G6" s="18"/>
      <c r="H6" s="29" t="str">
        <f aca="false">IF(OR(A6="",G6="",G6=0),"",D6/G6)</f>
        <v/>
      </c>
      <c r="I6" s="20" t="str">
        <f aca="false">IF(OR(A6="",G6=""),"",G6-D6)</f>
        <v/>
      </c>
      <c r="J6" s="37"/>
      <c r="K6" s="20" t="str">
        <f aca="false">IF(OR(A6="",G6=""),"",G6*(1-J6)-D6)</f>
        <v/>
      </c>
      <c r="L6" s="38" t="str">
        <f aca="false">IF(OR(A6="",G6="",F6=""),"",IF(G6&lt;F6,"가격 점검 필요",IF(K6&lt;=0,"배달은 손해","괜찮음")))</f>
        <v/>
      </c>
    </row>
    <row r="7" customFormat="false" ht="15" hidden="false" customHeight="false" outlineLevel="0" collapsed="false">
      <c r="A7" s="5"/>
      <c r="B7" s="18"/>
      <c r="C7" s="18"/>
      <c r="D7" s="20" t="str">
        <f aca="false">IF(A7="","",B7+C7)</f>
        <v/>
      </c>
      <c r="E7" s="37"/>
      <c r="F7" s="22" t="str">
        <f aca="false">IF(OR(A7="",E7="",E7=0),"",ROUNDUP(D7/E7,-2))</f>
        <v/>
      </c>
      <c r="G7" s="18"/>
      <c r="H7" s="29" t="str">
        <f aca="false">IF(OR(A7="",G7="",G7=0),"",D7/G7)</f>
        <v/>
      </c>
      <c r="I7" s="20" t="str">
        <f aca="false">IF(OR(A7="",G7=""),"",G7-D7)</f>
        <v/>
      </c>
      <c r="J7" s="37"/>
      <c r="K7" s="20" t="str">
        <f aca="false">IF(OR(A7="",G7=""),"",G7*(1-J7)-D7)</f>
        <v/>
      </c>
      <c r="L7" s="38" t="str">
        <f aca="false">IF(OR(A7="",G7="",F7=""),"",IF(G7&lt;F7,"가격 점검 필요",IF(K7&lt;=0,"배달은 손해","괜찮음")))</f>
        <v/>
      </c>
    </row>
    <row r="8" customFormat="false" ht="15" hidden="false" customHeight="false" outlineLevel="0" collapsed="false">
      <c r="A8" s="5"/>
      <c r="B8" s="18"/>
      <c r="C8" s="18"/>
      <c r="D8" s="20" t="str">
        <f aca="false">IF(A8="","",B8+C8)</f>
        <v/>
      </c>
      <c r="E8" s="37"/>
      <c r="F8" s="22" t="str">
        <f aca="false">IF(OR(A8="",E8="",E8=0),"",ROUNDUP(D8/E8,-2))</f>
        <v/>
      </c>
      <c r="G8" s="18"/>
      <c r="H8" s="29" t="str">
        <f aca="false">IF(OR(A8="",G8="",G8=0),"",D8/G8)</f>
        <v/>
      </c>
      <c r="I8" s="20" t="str">
        <f aca="false">IF(OR(A8="",G8=""),"",G8-D8)</f>
        <v/>
      </c>
      <c r="J8" s="37"/>
      <c r="K8" s="20" t="str">
        <f aca="false">IF(OR(A8="",G8=""),"",G8*(1-J8)-D8)</f>
        <v/>
      </c>
      <c r="L8" s="38" t="str">
        <f aca="false">IF(OR(A8="",G8="",F8=""),"",IF(G8&lt;F8,"가격 점검 필요",IF(K8&lt;=0,"배달은 손해","괜찮음")))</f>
        <v/>
      </c>
    </row>
    <row r="9" customFormat="false" ht="15" hidden="false" customHeight="false" outlineLevel="0" collapsed="false">
      <c r="A9" s="5"/>
      <c r="B9" s="18"/>
      <c r="C9" s="18"/>
      <c r="D9" s="20" t="str">
        <f aca="false">IF(A9="","",B9+C9)</f>
        <v/>
      </c>
      <c r="E9" s="37"/>
      <c r="F9" s="22" t="str">
        <f aca="false">IF(OR(A9="",E9="",E9=0),"",ROUNDUP(D9/E9,-2))</f>
        <v/>
      </c>
      <c r="G9" s="18"/>
      <c r="H9" s="29" t="str">
        <f aca="false">IF(OR(A9="",G9="",G9=0),"",D9/G9)</f>
        <v/>
      </c>
      <c r="I9" s="20" t="str">
        <f aca="false">IF(OR(A9="",G9=""),"",G9-D9)</f>
        <v/>
      </c>
      <c r="J9" s="37"/>
      <c r="K9" s="20" t="str">
        <f aca="false">IF(OR(A9="",G9=""),"",G9*(1-J9)-D9)</f>
        <v/>
      </c>
      <c r="L9" s="38" t="str">
        <f aca="false">IF(OR(A9="",G9="",F9=""),"",IF(G9&lt;F9,"가격 점검 필요",IF(K9&lt;=0,"배달은 손해","괜찮음")))</f>
        <v/>
      </c>
    </row>
    <row r="10" customFormat="false" ht="15" hidden="false" customHeight="false" outlineLevel="0" collapsed="false">
      <c r="A10" s="5"/>
      <c r="B10" s="18"/>
      <c r="C10" s="18"/>
      <c r="D10" s="20" t="str">
        <f aca="false">IF(A10="","",B10+C10)</f>
        <v/>
      </c>
      <c r="E10" s="37"/>
      <c r="F10" s="22" t="str">
        <f aca="false">IF(OR(A10="",E10="",E10=0),"",ROUNDUP(D10/E10,-2))</f>
        <v/>
      </c>
      <c r="G10" s="18"/>
      <c r="H10" s="29" t="str">
        <f aca="false">IF(OR(A10="",G10="",G10=0),"",D10/G10)</f>
        <v/>
      </c>
      <c r="I10" s="20" t="str">
        <f aca="false">IF(OR(A10="",G10=""),"",G10-D10)</f>
        <v/>
      </c>
      <c r="J10" s="37"/>
      <c r="K10" s="20" t="str">
        <f aca="false">IF(OR(A10="",G10=""),"",G10*(1-J10)-D10)</f>
        <v/>
      </c>
      <c r="L10" s="38" t="str">
        <f aca="false">IF(OR(A10="",G10="",F10=""),"",IF(G10&lt;F10,"가격 점검 필요",IF(K10&lt;=0,"배달은 손해","괜찮음")))</f>
        <v/>
      </c>
    </row>
    <row r="11" customFormat="false" ht="15" hidden="false" customHeight="false" outlineLevel="0" collapsed="false">
      <c r="A11" s="5"/>
      <c r="B11" s="18"/>
      <c r="C11" s="18"/>
      <c r="D11" s="20" t="str">
        <f aca="false">IF(A11="","",B11+C11)</f>
        <v/>
      </c>
      <c r="E11" s="37"/>
      <c r="F11" s="22" t="str">
        <f aca="false">IF(OR(A11="",E11="",E11=0),"",ROUNDUP(D11/E11,-2))</f>
        <v/>
      </c>
      <c r="G11" s="18"/>
      <c r="H11" s="29" t="str">
        <f aca="false">IF(OR(A11="",G11="",G11=0),"",D11/G11)</f>
        <v/>
      </c>
      <c r="I11" s="20" t="str">
        <f aca="false">IF(OR(A11="",G11=""),"",G11-D11)</f>
        <v/>
      </c>
      <c r="J11" s="37"/>
      <c r="K11" s="20" t="str">
        <f aca="false">IF(OR(A11="",G11=""),"",G11*(1-J11)-D11)</f>
        <v/>
      </c>
      <c r="L11" s="38" t="str">
        <f aca="false">IF(OR(A11="",G11="",F11=""),"",IF(G11&lt;F11,"가격 점검 필요",IF(K11&lt;=0,"배달은 손해","괜찮음")))</f>
        <v/>
      </c>
    </row>
    <row r="12" customFormat="false" ht="15" hidden="false" customHeight="false" outlineLevel="0" collapsed="false">
      <c r="A12" s="5"/>
      <c r="B12" s="18"/>
      <c r="C12" s="18"/>
      <c r="D12" s="20" t="str">
        <f aca="false">IF(A12="","",B12+C12)</f>
        <v/>
      </c>
      <c r="E12" s="37"/>
      <c r="F12" s="22" t="str">
        <f aca="false">IF(OR(A12="",E12="",E12=0),"",ROUNDUP(D12/E12,-2))</f>
        <v/>
      </c>
      <c r="G12" s="18"/>
      <c r="H12" s="29" t="str">
        <f aca="false">IF(OR(A12="",G12="",G12=0),"",D12/G12)</f>
        <v/>
      </c>
      <c r="I12" s="20" t="str">
        <f aca="false">IF(OR(A12="",G12=""),"",G12-D12)</f>
        <v/>
      </c>
      <c r="J12" s="37"/>
      <c r="K12" s="20" t="str">
        <f aca="false">IF(OR(A12="",G12=""),"",G12*(1-J12)-D12)</f>
        <v/>
      </c>
      <c r="L12" s="38" t="str">
        <f aca="false">IF(OR(A12="",G12="",F12=""),"",IF(G12&lt;F12,"가격 점검 필요",IF(K12&lt;=0,"배달은 손해","괜찮음")))</f>
        <v/>
      </c>
    </row>
    <row r="13" customFormat="false" ht="15" hidden="false" customHeight="false" outlineLevel="0" collapsed="false">
      <c r="A13" s="5"/>
      <c r="B13" s="18"/>
      <c r="C13" s="18"/>
      <c r="D13" s="20" t="str">
        <f aca="false">IF(A13="","",B13+C13)</f>
        <v/>
      </c>
      <c r="E13" s="37"/>
      <c r="F13" s="22" t="str">
        <f aca="false">IF(OR(A13="",E13="",E13=0),"",ROUNDUP(D13/E13,-2))</f>
        <v/>
      </c>
      <c r="G13" s="18"/>
      <c r="H13" s="29" t="str">
        <f aca="false">IF(OR(A13="",G13="",G13=0),"",D13/G13)</f>
        <v/>
      </c>
      <c r="I13" s="20" t="str">
        <f aca="false">IF(OR(A13="",G13=""),"",G13-D13)</f>
        <v/>
      </c>
      <c r="J13" s="37"/>
      <c r="K13" s="20" t="str">
        <f aca="false">IF(OR(A13="",G13=""),"",G13*(1-J13)-D13)</f>
        <v/>
      </c>
      <c r="L13" s="38" t="str">
        <f aca="false">IF(OR(A13="",G13="",F13=""),"",IF(G13&lt;F13,"가격 점검 필요",IF(K13&lt;=0,"배달은 손해","괜찮음")))</f>
        <v/>
      </c>
    </row>
    <row r="14" customFormat="false" ht="15" hidden="false" customHeight="false" outlineLevel="0" collapsed="false">
      <c r="A14" s="5"/>
      <c r="B14" s="18"/>
      <c r="C14" s="18"/>
      <c r="D14" s="20" t="str">
        <f aca="false">IF(A14="","",B14+C14)</f>
        <v/>
      </c>
      <c r="E14" s="37"/>
      <c r="F14" s="22" t="str">
        <f aca="false">IF(OR(A14="",E14="",E14=0),"",ROUNDUP(D14/E14,-2))</f>
        <v/>
      </c>
      <c r="G14" s="18"/>
      <c r="H14" s="29" t="str">
        <f aca="false">IF(OR(A14="",G14="",G14=0),"",D14/G14)</f>
        <v/>
      </c>
      <c r="I14" s="20" t="str">
        <f aca="false">IF(OR(A14="",G14=""),"",G14-D14)</f>
        <v/>
      </c>
      <c r="J14" s="37"/>
      <c r="K14" s="20" t="str">
        <f aca="false">IF(OR(A14="",G14=""),"",G14*(1-J14)-D14)</f>
        <v/>
      </c>
      <c r="L14" s="38" t="str">
        <f aca="false">IF(OR(A14="",G14="",F14=""),"",IF(G14&lt;F14,"가격 점검 필요",IF(K14&lt;=0,"배달은 손해","괜찮음")))</f>
        <v/>
      </c>
    </row>
    <row r="15" customFormat="false" ht="15" hidden="false" customHeight="false" outlineLevel="0" collapsed="false">
      <c r="A15" s="5"/>
      <c r="B15" s="18"/>
      <c r="C15" s="18"/>
      <c r="D15" s="20" t="str">
        <f aca="false">IF(A15="","",B15+C15)</f>
        <v/>
      </c>
      <c r="E15" s="37"/>
      <c r="F15" s="22" t="str">
        <f aca="false">IF(OR(A15="",E15="",E15=0),"",ROUNDUP(D15/E15,-2))</f>
        <v/>
      </c>
      <c r="G15" s="18"/>
      <c r="H15" s="29" t="str">
        <f aca="false">IF(OR(A15="",G15="",G15=0),"",D15/G15)</f>
        <v/>
      </c>
      <c r="I15" s="20" t="str">
        <f aca="false">IF(OR(A15="",G15=""),"",G15-D15)</f>
        <v/>
      </c>
      <c r="J15" s="37"/>
      <c r="K15" s="20" t="str">
        <f aca="false">IF(OR(A15="",G15=""),"",G15*(1-J15)-D15)</f>
        <v/>
      </c>
      <c r="L15" s="38" t="str">
        <f aca="false">IF(OR(A15="",G15="",F15=""),"",IF(G15&lt;F15,"가격 점검 필요",IF(K15&lt;=0,"배달은 손해","괜찮음")))</f>
        <v/>
      </c>
    </row>
    <row r="16" customFormat="false" ht="15" hidden="false" customHeight="false" outlineLevel="0" collapsed="false">
      <c r="A16" s="5"/>
      <c r="B16" s="18"/>
      <c r="C16" s="18"/>
      <c r="D16" s="20" t="str">
        <f aca="false">IF(A16="","",B16+C16)</f>
        <v/>
      </c>
      <c r="E16" s="37"/>
      <c r="F16" s="22" t="str">
        <f aca="false">IF(OR(A16="",E16="",E16=0),"",ROUNDUP(D16/E16,-2))</f>
        <v/>
      </c>
      <c r="G16" s="18"/>
      <c r="H16" s="29" t="str">
        <f aca="false">IF(OR(A16="",G16="",G16=0),"",D16/G16)</f>
        <v/>
      </c>
      <c r="I16" s="20" t="str">
        <f aca="false">IF(OR(A16="",G16=""),"",G16-D16)</f>
        <v/>
      </c>
      <c r="J16" s="37"/>
      <c r="K16" s="20" t="str">
        <f aca="false">IF(OR(A16="",G16=""),"",G16*(1-J16)-D16)</f>
        <v/>
      </c>
      <c r="L16" s="38" t="str">
        <f aca="false">IF(OR(A16="",G16="",F16=""),"",IF(G16&lt;F16,"가격 점검 필요",IF(K16&lt;=0,"배달은 손해","괜찮음")))</f>
        <v/>
      </c>
    </row>
    <row r="17" customFormat="false" ht="15" hidden="false" customHeight="false" outlineLevel="0" collapsed="false">
      <c r="A17" s="5"/>
      <c r="B17" s="18"/>
      <c r="C17" s="18"/>
      <c r="D17" s="20" t="str">
        <f aca="false">IF(A17="","",B17+C17)</f>
        <v/>
      </c>
      <c r="E17" s="37"/>
      <c r="F17" s="22" t="str">
        <f aca="false">IF(OR(A17="",E17="",E17=0),"",ROUNDUP(D17/E17,-2))</f>
        <v/>
      </c>
      <c r="G17" s="18"/>
      <c r="H17" s="29" t="str">
        <f aca="false">IF(OR(A17="",G17="",G17=0),"",D17/G17)</f>
        <v/>
      </c>
      <c r="I17" s="20" t="str">
        <f aca="false">IF(OR(A17="",G17=""),"",G17-D17)</f>
        <v/>
      </c>
      <c r="J17" s="37"/>
      <c r="K17" s="20" t="str">
        <f aca="false">IF(OR(A17="",G17=""),"",G17*(1-J17)-D17)</f>
        <v/>
      </c>
      <c r="L17" s="38" t="str">
        <f aca="false">IF(OR(A17="",G17="",F17=""),"",IF(G17&lt;F17,"가격 점검 필요",IF(K17&lt;=0,"배달은 손해","괜찮음")))</f>
        <v/>
      </c>
    </row>
    <row r="18" customFormat="false" ht="15" hidden="false" customHeight="false" outlineLevel="0" collapsed="false">
      <c r="A18" s="5"/>
      <c r="B18" s="18"/>
      <c r="C18" s="18"/>
      <c r="D18" s="20" t="str">
        <f aca="false">IF(A18="","",B18+C18)</f>
        <v/>
      </c>
      <c r="E18" s="37"/>
      <c r="F18" s="22" t="str">
        <f aca="false">IF(OR(A18="",E18="",E18=0),"",ROUNDUP(D18/E18,-2))</f>
        <v/>
      </c>
      <c r="G18" s="18"/>
      <c r="H18" s="29" t="str">
        <f aca="false">IF(OR(A18="",G18="",G18=0),"",D18/G18)</f>
        <v/>
      </c>
      <c r="I18" s="20" t="str">
        <f aca="false">IF(OR(A18="",G18=""),"",G18-D18)</f>
        <v/>
      </c>
      <c r="J18" s="37"/>
      <c r="K18" s="20" t="str">
        <f aca="false">IF(OR(A18="",G18=""),"",G18*(1-J18)-D18)</f>
        <v/>
      </c>
      <c r="L18" s="38" t="str">
        <f aca="false">IF(OR(A18="",G18="",F18=""),"",IF(G18&lt;F18,"가격 점검 필요",IF(K18&lt;=0,"배달은 손해","괜찮음")))</f>
        <v/>
      </c>
    </row>
    <row r="19" customFormat="false" ht="15" hidden="false" customHeight="false" outlineLevel="0" collapsed="false">
      <c r="A19" s="5"/>
      <c r="B19" s="18"/>
      <c r="C19" s="18"/>
      <c r="D19" s="20" t="str">
        <f aca="false">IF(A19="","",B19+C19)</f>
        <v/>
      </c>
      <c r="E19" s="37"/>
      <c r="F19" s="22" t="str">
        <f aca="false">IF(OR(A19="",E19="",E19=0),"",ROUNDUP(D19/E19,-2))</f>
        <v/>
      </c>
      <c r="G19" s="18"/>
      <c r="H19" s="29" t="str">
        <f aca="false">IF(OR(A19="",G19="",G19=0),"",D19/G19)</f>
        <v/>
      </c>
      <c r="I19" s="20" t="str">
        <f aca="false">IF(OR(A19="",G19=""),"",G19-D19)</f>
        <v/>
      </c>
      <c r="J19" s="37"/>
      <c r="K19" s="20" t="str">
        <f aca="false">IF(OR(A19="",G19=""),"",G19*(1-J19)-D19)</f>
        <v/>
      </c>
      <c r="L19" s="38" t="str">
        <f aca="false">IF(OR(A19="",G19="",F19=""),"",IF(G19&lt;F19,"가격 점검 필요",IF(K19&lt;=0,"배달은 손해","괜찮음")))</f>
        <v/>
      </c>
    </row>
    <row r="20" customFormat="false" ht="15" hidden="false" customHeight="false" outlineLevel="0" collapsed="false">
      <c r="A20" s="5"/>
      <c r="B20" s="18"/>
      <c r="C20" s="18"/>
      <c r="D20" s="20" t="str">
        <f aca="false">IF(A20="","",B20+C20)</f>
        <v/>
      </c>
      <c r="E20" s="37"/>
      <c r="F20" s="22" t="str">
        <f aca="false">IF(OR(A20="",E20="",E20=0),"",ROUNDUP(D20/E20,-2))</f>
        <v/>
      </c>
      <c r="G20" s="18"/>
      <c r="H20" s="29" t="str">
        <f aca="false">IF(OR(A20="",G20="",G20=0),"",D20/G20)</f>
        <v/>
      </c>
      <c r="I20" s="20" t="str">
        <f aca="false">IF(OR(A20="",G20=""),"",G20-D20)</f>
        <v/>
      </c>
      <c r="J20" s="37"/>
      <c r="K20" s="20" t="str">
        <f aca="false">IF(OR(A20="",G20=""),"",G20*(1-J20)-D20)</f>
        <v/>
      </c>
      <c r="L20" s="38" t="str">
        <f aca="false">IF(OR(A20="",G20="",F20=""),"",IF(G20&lt;F20,"가격 점검 필요",IF(K20&lt;=0,"배달은 손해","괜찮음")))</f>
        <v/>
      </c>
    </row>
    <row r="21" customFormat="false" ht="15" hidden="false" customHeight="false" outlineLevel="0" collapsed="false">
      <c r="A21" s="5"/>
      <c r="B21" s="18"/>
      <c r="C21" s="18"/>
      <c r="D21" s="20" t="str">
        <f aca="false">IF(A21="","",B21+C21)</f>
        <v/>
      </c>
      <c r="E21" s="37"/>
      <c r="F21" s="22" t="str">
        <f aca="false">IF(OR(A21="",E21="",E21=0),"",ROUNDUP(D21/E21,-2))</f>
        <v/>
      </c>
      <c r="G21" s="18"/>
      <c r="H21" s="29" t="str">
        <f aca="false">IF(OR(A21="",G21="",G21=0),"",D21/G21)</f>
        <v/>
      </c>
      <c r="I21" s="20" t="str">
        <f aca="false">IF(OR(A21="",G21=""),"",G21-D21)</f>
        <v/>
      </c>
      <c r="J21" s="37"/>
      <c r="K21" s="20" t="str">
        <f aca="false">IF(OR(A21="",G21=""),"",G21*(1-J21)-D21)</f>
        <v/>
      </c>
      <c r="L21" s="38" t="str">
        <f aca="false">IF(OR(A21="",G21="",F21=""),"",IF(G21&lt;F21,"가격 점검 필요",IF(K21&lt;=0,"배달은 손해","괜찮음")))</f>
        <v/>
      </c>
    </row>
    <row r="22" customFormat="false" ht="15" hidden="false" customHeight="false" outlineLevel="0" collapsed="false">
      <c r="A22" s="5"/>
      <c r="B22" s="18"/>
      <c r="C22" s="18"/>
      <c r="D22" s="20" t="str">
        <f aca="false">IF(A22="","",B22+C22)</f>
        <v/>
      </c>
      <c r="E22" s="37"/>
      <c r="F22" s="22" t="str">
        <f aca="false">IF(OR(A22="",E22="",E22=0),"",ROUNDUP(D22/E22,-2))</f>
        <v/>
      </c>
      <c r="G22" s="18"/>
      <c r="H22" s="29" t="str">
        <f aca="false">IF(OR(A22="",G22="",G22=0),"",D22/G22)</f>
        <v/>
      </c>
      <c r="I22" s="20" t="str">
        <f aca="false">IF(OR(A22="",G22=""),"",G22-D22)</f>
        <v/>
      </c>
      <c r="J22" s="37"/>
      <c r="K22" s="20" t="str">
        <f aca="false">IF(OR(A22="",G22=""),"",G22*(1-J22)-D22)</f>
        <v/>
      </c>
      <c r="L22" s="38" t="str">
        <f aca="false">IF(OR(A22="",G22="",F22=""),"",IF(G22&lt;F22,"가격 점검 필요",IF(K22&lt;=0,"배달은 손해","괜찮음")))</f>
        <v/>
      </c>
    </row>
    <row r="23" customFormat="false" ht="15" hidden="false" customHeight="false" outlineLevel="0" collapsed="false">
      <c r="A23" s="5"/>
      <c r="B23" s="18"/>
      <c r="C23" s="18"/>
      <c r="D23" s="20" t="str">
        <f aca="false">IF(A23="","",B23+C23)</f>
        <v/>
      </c>
      <c r="E23" s="37"/>
      <c r="F23" s="22" t="str">
        <f aca="false">IF(OR(A23="",E23="",E23=0),"",ROUNDUP(D23/E23,-2))</f>
        <v/>
      </c>
      <c r="G23" s="18"/>
      <c r="H23" s="29" t="str">
        <f aca="false">IF(OR(A23="",G23="",G23=0),"",D23/G23)</f>
        <v/>
      </c>
      <c r="I23" s="20" t="str">
        <f aca="false">IF(OR(A23="",G23=""),"",G23-D23)</f>
        <v/>
      </c>
      <c r="J23" s="37"/>
      <c r="K23" s="20" t="str">
        <f aca="false">IF(OR(A23="",G23=""),"",G23*(1-J23)-D23)</f>
        <v/>
      </c>
      <c r="L23" s="38" t="str">
        <f aca="false">IF(OR(A23="",G23="",F23=""),"",IF(G23&lt;F23,"가격 점검 필요",IF(K23&lt;=0,"배달은 손해","괜찮음")))</f>
        <v/>
      </c>
    </row>
    <row r="24" customFormat="false" ht="15" hidden="false" customHeight="false" outlineLevel="0" collapsed="false">
      <c r="A24" s="5"/>
      <c r="B24" s="18"/>
      <c r="C24" s="18"/>
      <c r="D24" s="20" t="str">
        <f aca="false">IF(A24="","",B24+C24)</f>
        <v/>
      </c>
      <c r="E24" s="37"/>
      <c r="F24" s="22" t="str">
        <f aca="false">IF(OR(A24="",E24="",E24=0),"",ROUNDUP(D24/E24,-2))</f>
        <v/>
      </c>
      <c r="G24" s="18"/>
      <c r="H24" s="29" t="str">
        <f aca="false">IF(OR(A24="",G24="",G24=0),"",D24/G24)</f>
        <v/>
      </c>
      <c r="I24" s="20" t="str">
        <f aca="false">IF(OR(A24="",G24=""),"",G24-D24)</f>
        <v/>
      </c>
      <c r="J24" s="37"/>
      <c r="K24" s="20" t="str">
        <f aca="false">IF(OR(A24="",G24=""),"",G24*(1-J24)-D24)</f>
        <v/>
      </c>
      <c r="L24" s="38" t="str">
        <f aca="false">IF(OR(A24="",G24="",F24=""),"",IF(G24&lt;F24,"가격 점검 필요",IF(K24&lt;=0,"배달은 손해","괜찮음")))</f>
        <v/>
      </c>
    </row>
    <row r="26" customFormat="false" ht="15" hidden="false" customHeight="false" outlineLevel="0" collapsed="false">
      <c r="A26" s="27" t="s">
        <v>91</v>
      </c>
    </row>
    <row r="27" customFormat="false" ht="15" hidden="false" customHeight="false" outlineLevel="0" collapsed="false">
      <c r="A27" s="27" t="s">
        <v>92</v>
      </c>
    </row>
    <row r="28" customFormat="false" ht="15" hidden="false" customHeight="false" outlineLevel="0" collapsed="false">
      <c r="A28" s="27" t="s">
        <v>93</v>
      </c>
    </row>
  </sheetData>
  <conditionalFormatting sqref="L5:L24">
    <cfRule type="expression" priority="2" aboveAverage="0" equalAverage="0" bottom="0" percent="0" rank="0" text="" dxfId="0">
      <formula>ISNUMBER(SEARCH("점검",L5))</formula>
    </cfRule>
    <cfRule type="expression" priority="3" aboveAverage="0" equalAverage="0" bottom="0" percent="0" rank="0" text="" dxfId="0">
      <formula>ISNUMBER(SEARCH("손해",L5))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0" t="s">
        <v>94</v>
      </c>
    </row>
    <row r="2" customFormat="false" ht="15" hidden="false" customHeight="false" outlineLevel="0" collapsed="false">
      <c r="A2" s="11" t="s">
        <v>95</v>
      </c>
    </row>
    <row r="4" customFormat="false" ht="30" hidden="false" customHeight="true" outlineLevel="0" collapsed="false">
      <c r="A4" s="14" t="s">
        <v>79</v>
      </c>
      <c r="B4" s="14" t="s">
        <v>96</v>
      </c>
      <c r="C4" s="14" t="s">
        <v>97</v>
      </c>
      <c r="D4" s="14" t="s">
        <v>98</v>
      </c>
      <c r="E4" s="14" t="s">
        <v>99</v>
      </c>
      <c r="F4" s="14" t="s">
        <v>100</v>
      </c>
      <c r="H4" s="34" t="s">
        <v>101</v>
      </c>
    </row>
    <row r="5" customFormat="false" ht="15" hidden="false" customHeight="false" outlineLevel="0" collapsed="false">
      <c r="A5" s="5"/>
      <c r="B5" s="19"/>
      <c r="C5" s="18"/>
      <c r="D5" s="20" t="str">
        <f aca="false">IF(OR(A5="",B5="",C5=""),"",B5*C5)</f>
        <v/>
      </c>
      <c r="E5" s="39" t="str">
        <f aca="false">IF(D5="","",IF(B5&gt;=$I$5,IF(C5&gt;=$I$6,"① 효자 상품","② 인기 상품"),IF(C5&gt;=$I$6,"③ 숨은 상품","④ 정리 대상")))</f>
        <v/>
      </c>
      <c r="F5" s="38" t="str">
        <f aca="false">IF(E5="","",CHOOSE(VALUE(MID("1234",FIND(LEFT(E5,1),"①②③④"),1)),"앞에 내세우고 지킨다","원가를 줄이거나 가격을 조정한다","더 잘 보이게 알린다","빼거나 바꾼다"))</f>
        <v/>
      </c>
      <c r="H5" s="21" t="s">
        <v>102</v>
      </c>
      <c r="I5" s="40" t="n">
        <f aca="false">IFERROR(AVERAGE(B5:B34),0)</f>
        <v>0</v>
      </c>
    </row>
    <row r="6" customFormat="false" ht="15" hidden="false" customHeight="false" outlineLevel="0" collapsed="false">
      <c r="A6" s="5"/>
      <c r="B6" s="19"/>
      <c r="C6" s="18"/>
      <c r="D6" s="20" t="str">
        <f aca="false">IF(OR(A6="",B6="",C6=""),"",B6*C6)</f>
        <v/>
      </c>
      <c r="E6" s="39" t="str">
        <f aca="false">IF(D6="","",IF(B6&gt;=$I$5,IF(C6&gt;=$I$6,"① 효자 상품","② 인기 상품"),IF(C6&gt;=$I$6,"③ 숨은 상품","④ 정리 대상")))</f>
        <v/>
      </c>
      <c r="F6" s="38" t="str">
        <f aca="false">IF(E6="","",CHOOSE(VALUE(MID("1234",FIND(LEFT(E6,1),"①②③④"),1)),"앞에 내세우고 지킨다","원가를 줄이거나 가격을 조정한다","더 잘 보이게 알린다","빼거나 바꾼다"))</f>
        <v/>
      </c>
      <c r="H6" s="21" t="s">
        <v>103</v>
      </c>
      <c r="I6" s="20" t="n">
        <f aca="false">IFERROR(AVERAGE(C5:C34),0)</f>
        <v>0</v>
      </c>
    </row>
    <row r="7" customFormat="false" ht="15" hidden="false" customHeight="false" outlineLevel="0" collapsed="false">
      <c r="A7" s="5"/>
      <c r="B7" s="19"/>
      <c r="C7" s="18"/>
      <c r="D7" s="20" t="str">
        <f aca="false">IF(OR(A7="",B7="",C7=""),"",B7*C7)</f>
        <v/>
      </c>
      <c r="E7" s="39" t="str">
        <f aca="false">IF(D7="","",IF(B7&gt;=$I$5,IF(C7&gt;=$I$6,"① 효자 상품","② 인기 상품"),IF(C7&gt;=$I$6,"③ 숨은 상품","④ 정리 대상")))</f>
        <v/>
      </c>
      <c r="F7" s="38" t="str">
        <f aca="false">IF(E7="","",CHOOSE(VALUE(MID("1234",FIND(LEFT(E7,1),"①②③④"),1)),"앞에 내세우고 지킨다","원가를 줄이거나 가격을 조정한다","더 잘 보이게 알린다","빼거나 바꾼다"))</f>
        <v/>
      </c>
    </row>
    <row r="8" customFormat="false" ht="15" hidden="false" customHeight="false" outlineLevel="0" collapsed="false">
      <c r="A8" s="5"/>
      <c r="B8" s="19"/>
      <c r="C8" s="18"/>
      <c r="D8" s="20" t="str">
        <f aca="false">IF(OR(A8="",B8="",C8=""),"",B8*C8)</f>
        <v/>
      </c>
      <c r="E8" s="39" t="str">
        <f aca="false">IF(D8="","",IF(B8&gt;=$I$5,IF(C8&gt;=$I$6,"① 효자 상품","② 인기 상품"),IF(C8&gt;=$I$6,"③ 숨은 상품","④ 정리 대상")))</f>
        <v/>
      </c>
      <c r="F8" s="38" t="str">
        <f aca="false">IF(E8="","",CHOOSE(VALUE(MID("1234",FIND(LEFT(E8,1),"①②③④"),1)),"앞에 내세우고 지킨다","원가를 줄이거나 가격을 조정한다","더 잘 보이게 알린다","빼거나 바꾼다"))</f>
        <v/>
      </c>
      <c r="H8" s="34" t="s">
        <v>104</v>
      </c>
    </row>
    <row r="9" customFormat="false" ht="15" hidden="false" customHeight="false" outlineLevel="0" collapsed="false">
      <c r="A9" s="5"/>
      <c r="B9" s="19"/>
      <c r="C9" s="18"/>
      <c r="D9" s="20" t="str">
        <f aca="false">IF(OR(A9="",B9="",C9=""),"",B9*C9)</f>
        <v/>
      </c>
      <c r="E9" s="39" t="str">
        <f aca="false">IF(D9="","",IF(B9&gt;=$I$5,IF(C9&gt;=$I$6,"① 효자 상품","② 인기 상품"),IF(C9&gt;=$I$6,"③ 숨은 상품","④ 정리 대상")))</f>
        <v/>
      </c>
      <c r="F9" s="38" t="str">
        <f aca="false">IF(E9="","",CHOOSE(VALUE(MID("1234",FIND(LEFT(E9,1),"①②③④"),1)),"앞에 내세우고 지킨다","원가를 줄이거나 가격을 조정한다","더 잘 보이게 알린다","빼거나 바꾼다"))</f>
        <v/>
      </c>
      <c r="H9" s="21" t="s">
        <v>105</v>
      </c>
      <c r="I9" s="41" t="n">
        <f aca="false">COUNTIF($E$5:$E$34,H9)</f>
        <v>0</v>
      </c>
    </row>
    <row r="10" customFormat="false" ht="15" hidden="false" customHeight="false" outlineLevel="0" collapsed="false">
      <c r="A10" s="5"/>
      <c r="B10" s="19"/>
      <c r="C10" s="18"/>
      <c r="D10" s="20" t="str">
        <f aca="false">IF(OR(A10="",B10="",C10=""),"",B10*C10)</f>
        <v/>
      </c>
      <c r="E10" s="39" t="str">
        <f aca="false">IF(D10="","",IF(B10&gt;=$I$5,IF(C10&gt;=$I$6,"① 효자 상품","② 인기 상품"),IF(C10&gt;=$I$6,"③ 숨은 상품","④ 정리 대상")))</f>
        <v/>
      </c>
      <c r="F10" s="38" t="str">
        <f aca="false">IF(E10="","",CHOOSE(VALUE(MID("1234",FIND(LEFT(E10,1),"①②③④"),1)),"앞에 내세우고 지킨다","원가를 줄이거나 가격을 조정한다","더 잘 보이게 알린다","빼거나 바꾼다"))</f>
        <v/>
      </c>
      <c r="H10" s="21" t="s">
        <v>106</v>
      </c>
      <c r="I10" s="41" t="n">
        <f aca="false">COUNTIF($E$5:$E$34,H10)</f>
        <v>0</v>
      </c>
    </row>
    <row r="11" customFormat="false" ht="15" hidden="false" customHeight="false" outlineLevel="0" collapsed="false">
      <c r="A11" s="5"/>
      <c r="B11" s="19"/>
      <c r="C11" s="18"/>
      <c r="D11" s="20" t="str">
        <f aca="false">IF(OR(A11="",B11="",C11=""),"",B11*C11)</f>
        <v/>
      </c>
      <c r="E11" s="39" t="str">
        <f aca="false">IF(D11="","",IF(B11&gt;=$I$5,IF(C11&gt;=$I$6,"① 효자 상품","② 인기 상품"),IF(C11&gt;=$I$6,"③ 숨은 상품","④ 정리 대상")))</f>
        <v/>
      </c>
      <c r="F11" s="38" t="str">
        <f aca="false">IF(E11="","",CHOOSE(VALUE(MID("1234",FIND(LEFT(E11,1),"①②③④"),1)),"앞에 내세우고 지킨다","원가를 줄이거나 가격을 조정한다","더 잘 보이게 알린다","빼거나 바꾼다"))</f>
        <v/>
      </c>
      <c r="H11" s="21" t="s">
        <v>107</v>
      </c>
      <c r="I11" s="41" t="n">
        <f aca="false">COUNTIF($E$5:$E$34,H11)</f>
        <v>0</v>
      </c>
    </row>
    <row r="12" customFormat="false" ht="15" hidden="false" customHeight="false" outlineLevel="0" collapsed="false">
      <c r="A12" s="5"/>
      <c r="B12" s="19"/>
      <c r="C12" s="18"/>
      <c r="D12" s="20" t="str">
        <f aca="false">IF(OR(A12="",B12="",C12=""),"",B12*C12)</f>
        <v/>
      </c>
      <c r="E12" s="39" t="str">
        <f aca="false">IF(D12="","",IF(B12&gt;=$I$5,IF(C12&gt;=$I$6,"① 효자 상품","② 인기 상품"),IF(C12&gt;=$I$6,"③ 숨은 상품","④ 정리 대상")))</f>
        <v/>
      </c>
      <c r="F12" s="38" t="str">
        <f aca="false">IF(E12="","",CHOOSE(VALUE(MID("1234",FIND(LEFT(E12,1),"①②③④"),1)),"앞에 내세우고 지킨다","원가를 줄이거나 가격을 조정한다","더 잘 보이게 알린다","빼거나 바꾼다"))</f>
        <v/>
      </c>
      <c r="H12" s="21" t="s">
        <v>108</v>
      </c>
      <c r="I12" s="41" t="n">
        <f aca="false">COUNTIF($E$5:$E$34,H12)</f>
        <v>0</v>
      </c>
    </row>
    <row r="13" customFormat="false" ht="15" hidden="false" customHeight="false" outlineLevel="0" collapsed="false">
      <c r="A13" s="5"/>
      <c r="B13" s="19"/>
      <c r="C13" s="18"/>
      <c r="D13" s="20" t="str">
        <f aca="false">IF(OR(A13="",B13="",C13=""),"",B13*C13)</f>
        <v/>
      </c>
      <c r="E13" s="39" t="str">
        <f aca="false">IF(D13="","",IF(B13&gt;=$I$5,IF(C13&gt;=$I$6,"① 효자 상품","② 인기 상품"),IF(C13&gt;=$I$6,"③ 숨은 상품","④ 정리 대상")))</f>
        <v/>
      </c>
      <c r="F13" s="38" t="str">
        <f aca="false">IF(E13="","",CHOOSE(VALUE(MID("1234",FIND(LEFT(E13,1),"①②③④"),1)),"앞에 내세우고 지킨다","원가를 줄이거나 가격을 조정한다","더 잘 보이게 알린다","빼거나 바꾼다"))</f>
        <v/>
      </c>
    </row>
    <row r="14" customFormat="false" ht="15" hidden="false" customHeight="false" outlineLevel="0" collapsed="false">
      <c r="A14" s="5"/>
      <c r="B14" s="19"/>
      <c r="C14" s="18"/>
      <c r="D14" s="20" t="str">
        <f aca="false">IF(OR(A14="",B14="",C14=""),"",B14*C14)</f>
        <v/>
      </c>
      <c r="E14" s="39" t="str">
        <f aca="false">IF(D14="","",IF(B14&gt;=$I$5,IF(C14&gt;=$I$6,"① 효자 상품","② 인기 상품"),IF(C14&gt;=$I$6,"③ 숨은 상품","④ 정리 대상")))</f>
        <v/>
      </c>
      <c r="F14" s="38" t="str">
        <f aca="false">IF(E14="","",CHOOSE(VALUE(MID("1234",FIND(LEFT(E14,1),"①②③④"),1)),"앞에 내세우고 지킨다","원가를 줄이거나 가격을 조정한다","더 잘 보이게 알린다","빼거나 바꾼다"))</f>
        <v/>
      </c>
      <c r="H14" s="27" t="s">
        <v>109</v>
      </c>
    </row>
    <row r="15" customFormat="false" ht="15" hidden="false" customHeight="false" outlineLevel="0" collapsed="false">
      <c r="A15" s="5"/>
      <c r="B15" s="19"/>
      <c r="C15" s="18"/>
      <c r="D15" s="20" t="str">
        <f aca="false">IF(OR(A15="",B15="",C15=""),"",B15*C15)</f>
        <v/>
      </c>
      <c r="E15" s="39" t="str">
        <f aca="false">IF(D15="","",IF(B15&gt;=$I$5,IF(C15&gt;=$I$6,"① 효자 상품","② 인기 상품"),IF(C15&gt;=$I$6,"③ 숨은 상품","④ 정리 대상")))</f>
        <v/>
      </c>
      <c r="F15" s="38" t="str">
        <f aca="false">IF(E15="","",CHOOSE(VALUE(MID("1234",FIND(LEFT(E15,1),"①②③④"),1)),"앞에 내세우고 지킨다","원가를 줄이거나 가격을 조정한다","더 잘 보이게 알린다","빼거나 바꾼다"))</f>
        <v/>
      </c>
    </row>
    <row r="16" customFormat="false" ht="15" hidden="false" customHeight="false" outlineLevel="0" collapsed="false">
      <c r="A16" s="5"/>
      <c r="B16" s="19"/>
      <c r="C16" s="18"/>
      <c r="D16" s="20" t="str">
        <f aca="false">IF(OR(A16="",B16="",C16=""),"",B16*C16)</f>
        <v/>
      </c>
      <c r="E16" s="39" t="str">
        <f aca="false">IF(D16="","",IF(B16&gt;=$I$5,IF(C16&gt;=$I$6,"① 효자 상품","② 인기 상품"),IF(C16&gt;=$I$6,"③ 숨은 상품","④ 정리 대상")))</f>
        <v/>
      </c>
      <c r="F16" s="38" t="str">
        <f aca="false">IF(E16="","",CHOOSE(VALUE(MID("1234",FIND(LEFT(E16,1),"①②③④"),1)),"앞에 내세우고 지킨다","원가를 줄이거나 가격을 조정한다","더 잘 보이게 알린다","빼거나 바꾼다"))</f>
        <v/>
      </c>
    </row>
    <row r="17" customFormat="false" ht="15" hidden="false" customHeight="false" outlineLevel="0" collapsed="false">
      <c r="A17" s="5"/>
      <c r="B17" s="19"/>
      <c r="C17" s="18"/>
      <c r="D17" s="20" t="str">
        <f aca="false">IF(OR(A17="",B17="",C17=""),"",B17*C17)</f>
        <v/>
      </c>
      <c r="E17" s="39" t="str">
        <f aca="false">IF(D17="","",IF(B17&gt;=$I$5,IF(C17&gt;=$I$6,"① 효자 상품","② 인기 상품"),IF(C17&gt;=$I$6,"③ 숨은 상품","④ 정리 대상")))</f>
        <v/>
      </c>
      <c r="F17" s="38" t="str">
        <f aca="false">IF(E17="","",CHOOSE(VALUE(MID("1234",FIND(LEFT(E17,1),"①②③④"),1)),"앞에 내세우고 지킨다","원가를 줄이거나 가격을 조정한다","더 잘 보이게 알린다","빼거나 바꾼다"))</f>
        <v/>
      </c>
    </row>
    <row r="18" customFormat="false" ht="15" hidden="false" customHeight="false" outlineLevel="0" collapsed="false">
      <c r="A18" s="5"/>
      <c r="B18" s="19"/>
      <c r="C18" s="18"/>
      <c r="D18" s="20" t="str">
        <f aca="false">IF(OR(A18="",B18="",C18=""),"",B18*C18)</f>
        <v/>
      </c>
      <c r="E18" s="39" t="str">
        <f aca="false">IF(D18="","",IF(B18&gt;=$I$5,IF(C18&gt;=$I$6,"① 효자 상품","② 인기 상품"),IF(C18&gt;=$I$6,"③ 숨은 상품","④ 정리 대상")))</f>
        <v/>
      </c>
      <c r="F18" s="38" t="str">
        <f aca="false">IF(E18="","",CHOOSE(VALUE(MID("1234",FIND(LEFT(E18,1),"①②③④"),1)),"앞에 내세우고 지킨다","원가를 줄이거나 가격을 조정한다","더 잘 보이게 알린다","빼거나 바꾼다"))</f>
        <v/>
      </c>
    </row>
    <row r="19" customFormat="false" ht="15" hidden="false" customHeight="false" outlineLevel="0" collapsed="false">
      <c r="A19" s="5"/>
      <c r="B19" s="19"/>
      <c r="C19" s="18"/>
      <c r="D19" s="20" t="str">
        <f aca="false">IF(OR(A19="",B19="",C19=""),"",B19*C19)</f>
        <v/>
      </c>
      <c r="E19" s="39" t="str">
        <f aca="false">IF(D19="","",IF(B19&gt;=$I$5,IF(C19&gt;=$I$6,"① 효자 상품","② 인기 상품"),IF(C19&gt;=$I$6,"③ 숨은 상품","④ 정리 대상")))</f>
        <v/>
      </c>
      <c r="F19" s="38" t="str">
        <f aca="false">IF(E19="","",CHOOSE(VALUE(MID("1234",FIND(LEFT(E19,1),"①②③④"),1)),"앞에 내세우고 지킨다","원가를 줄이거나 가격을 조정한다","더 잘 보이게 알린다","빼거나 바꾼다"))</f>
        <v/>
      </c>
    </row>
    <row r="20" customFormat="false" ht="15" hidden="false" customHeight="false" outlineLevel="0" collapsed="false">
      <c r="A20" s="5"/>
      <c r="B20" s="19"/>
      <c r="C20" s="18"/>
      <c r="D20" s="20" t="str">
        <f aca="false">IF(OR(A20="",B20="",C20=""),"",B20*C20)</f>
        <v/>
      </c>
      <c r="E20" s="39" t="str">
        <f aca="false">IF(D20="","",IF(B20&gt;=$I$5,IF(C20&gt;=$I$6,"① 효자 상품","② 인기 상품"),IF(C20&gt;=$I$6,"③ 숨은 상품","④ 정리 대상")))</f>
        <v/>
      </c>
      <c r="F20" s="38" t="str">
        <f aca="false">IF(E20="","",CHOOSE(VALUE(MID("1234",FIND(LEFT(E20,1),"①②③④"),1)),"앞에 내세우고 지킨다","원가를 줄이거나 가격을 조정한다","더 잘 보이게 알린다","빼거나 바꾼다"))</f>
        <v/>
      </c>
    </row>
    <row r="21" customFormat="false" ht="15" hidden="false" customHeight="false" outlineLevel="0" collapsed="false">
      <c r="A21" s="5"/>
      <c r="B21" s="19"/>
      <c r="C21" s="18"/>
      <c r="D21" s="20" t="str">
        <f aca="false">IF(OR(A21="",B21="",C21=""),"",B21*C21)</f>
        <v/>
      </c>
      <c r="E21" s="39" t="str">
        <f aca="false">IF(D21="","",IF(B21&gt;=$I$5,IF(C21&gt;=$I$6,"① 효자 상품","② 인기 상품"),IF(C21&gt;=$I$6,"③ 숨은 상품","④ 정리 대상")))</f>
        <v/>
      </c>
      <c r="F21" s="38" t="str">
        <f aca="false">IF(E21="","",CHOOSE(VALUE(MID("1234",FIND(LEFT(E21,1),"①②③④"),1)),"앞에 내세우고 지킨다","원가를 줄이거나 가격을 조정한다","더 잘 보이게 알린다","빼거나 바꾼다"))</f>
        <v/>
      </c>
    </row>
    <row r="22" customFormat="false" ht="15" hidden="false" customHeight="false" outlineLevel="0" collapsed="false">
      <c r="A22" s="5"/>
      <c r="B22" s="19"/>
      <c r="C22" s="18"/>
      <c r="D22" s="20" t="str">
        <f aca="false">IF(OR(A22="",B22="",C22=""),"",B22*C22)</f>
        <v/>
      </c>
      <c r="E22" s="39" t="str">
        <f aca="false">IF(D22="","",IF(B22&gt;=$I$5,IF(C22&gt;=$I$6,"① 효자 상품","② 인기 상품"),IF(C22&gt;=$I$6,"③ 숨은 상품","④ 정리 대상")))</f>
        <v/>
      </c>
      <c r="F22" s="38" t="str">
        <f aca="false">IF(E22="","",CHOOSE(VALUE(MID("1234",FIND(LEFT(E22,1),"①②③④"),1)),"앞에 내세우고 지킨다","원가를 줄이거나 가격을 조정한다","더 잘 보이게 알린다","빼거나 바꾼다"))</f>
        <v/>
      </c>
    </row>
    <row r="23" customFormat="false" ht="15" hidden="false" customHeight="false" outlineLevel="0" collapsed="false">
      <c r="A23" s="5"/>
      <c r="B23" s="19"/>
      <c r="C23" s="18"/>
      <c r="D23" s="20" t="str">
        <f aca="false">IF(OR(A23="",B23="",C23=""),"",B23*C23)</f>
        <v/>
      </c>
      <c r="E23" s="39" t="str">
        <f aca="false">IF(D23="","",IF(B23&gt;=$I$5,IF(C23&gt;=$I$6,"① 효자 상품","② 인기 상품"),IF(C23&gt;=$I$6,"③ 숨은 상품","④ 정리 대상")))</f>
        <v/>
      </c>
      <c r="F23" s="38" t="str">
        <f aca="false">IF(E23="","",CHOOSE(VALUE(MID("1234",FIND(LEFT(E23,1),"①②③④"),1)),"앞에 내세우고 지킨다","원가를 줄이거나 가격을 조정한다","더 잘 보이게 알린다","빼거나 바꾼다"))</f>
        <v/>
      </c>
    </row>
    <row r="24" customFormat="false" ht="15" hidden="false" customHeight="false" outlineLevel="0" collapsed="false">
      <c r="A24" s="5"/>
      <c r="B24" s="19"/>
      <c r="C24" s="18"/>
      <c r="D24" s="20" t="str">
        <f aca="false">IF(OR(A24="",B24="",C24=""),"",B24*C24)</f>
        <v/>
      </c>
      <c r="E24" s="39" t="str">
        <f aca="false">IF(D24="","",IF(B24&gt;=$I$5,IF(C24&gt;=$I$6,"① 효자 상품","② 인기 상품"),IF(C24&gt;=$I$6,"③ 숨은 상품","④ 정리 대상")))</f>
        <v/>
      </c>
      <c r="F24" s="38" t="str">
        <f aca="false">IF(E24="","",CHOOSE(VALUE(MID("1234",FIND(LEFT(E24,1),"①②③④"),1)),"앞에 내세우고 지킨다","원가를 줄이거나 가격을 조정한다","더 잘 보이게 알린다","빼거나 바꾼다"))</f>
        <v/>
      </c>
    </row>
    <row r="25" customFormat="false" ht="15" hidden="false" customHeight="false" outlineLevel="0" collapsed="false">
      <c r="A25" s="5"/>
      <c r="B25" s="19"/>
      <c r="C25" s="18"/>
      <c r="D25" s="20" t="str">
        <f aca="false">IF(OR(A25="",B25="",C25=""),"",B25*C25)</f>
        <v/>
      </c>
      <c r="E25" s="39" t="str">
        <f aca="false">IF(D25="","",IF(B25&gt;=$I$5,IF(C25&gt;=$I$6,"① 효자 상품","② 인기 상품"),IF(C25&gt;=$I$6,"③ 숨은 상품","④ 정리 대상")))</f>
        <v/>
      </c>
      <c r="F25" s="38" t="str">
        <f aca="false">IF(E25="","",CHOOSE(VALUE(MID("1234",FIND(LEFT(E25,1),"①②③④"),1)),"앞에 내세우고 지킨다","원가를 줄이거나 가격을 조정한다","더 잘 보이게 알린다","빼거나 바꾼다"))</f>
        <v/>
      </c>
    </row>
    <row r="26" customFormat="false" ht="15" hidden="false" customHeight="false" outlineLevel="0" collapsed="false">
      <c r="A26" s="5"/>
      <c r="B26" s="19"/>
      <c r="C26" s="18"/>
      <c r="D26" s="20" t="str">
        <f aca="false">IF(OR(A26="",B26="",C26=""),"",B26*C26)</f>
        <v/>
      </c>
      <c r="E26" s="39" t="str">
        <f aca="false">IF(D26="","",IF(B26&gt;=$I$5,IF(C26&gt;=$I$6,"① 효자 상품","② 인기 상품"),IF(C26&gt;=$I$6,"③ 숨은 상품","④ 정리 대상")))</f>
        <v/>
      </c>
      <c r="F26" s="38" t="str">
        <f aca="false">IF(E26="","",CHOOSE(VALUE(MID("1234",FIND(LEFT(E26,1),"①②③④"),1)),"앞에 내세우고 지킨다","원가를 줄이거나 가격을 조정한다","더 잘 보이게 알린다","빼거나 바꾼다"))</f>
        <v/>
      </c>
    </row>
    <row r="27" customFormat="false" ht="15" hidden="false" customHeight="false" outlineLevel="0" collapsed="false">
      <c r="A27" s="5"/>
      <c r="B27" s="19"/>
      <c r="C27" s="18"/>
      <c r="D27" s="20" t="str">
        <f aca="false">IF(OR(A27="",B27="",C27=""),"",B27*C27)</f>
        <v/>
      </c>
      <c r="E27" s="39" t="str">
        <f aca="false">IF(D27="","",IF(B27&gt;=$I$5,IF(C27&gt;=$I$6,"① 효자 상품","② 인기 상품"),IF(C27&gt;=$I$6,"③ 숨은 상품","④ 정리 대상")))</f>
        <v/>
      </c>
      <c r="F27" s="38" t="str">
        <f aca="false">IF(E27="","",CHOOSE(VALUE(MID("1234",FIND(LEFT(E27,1),"①②③④"),1)),"앞에 내세우고 지킨다","원가를 줄이거나 가격을 조정한다","더 잘 보이게 알린다","빼거나 바꾼다"))</f>
        <v/>
      </c>
    </row>
    <row r="28" customFormat="false" ht="15" hidden="false" customHeight="false" outlineLevel="0" collapsed="false">
      <c r="A28" s="5"/>
      <c r="B28" s="19"/>
      <c r="C28" s="18"/>
      <c r="D28" s="20" t="str">
        <f aca="false">IF(OR(A28="",B28="",C28=""),"",B28*C28)</f>
        <v/>
      </c>
      <c r="E28" s="39" t="str">
        <f aca="false">IF(D28="","",IF(B28&gt;=$I$5,IF(C28&gt;=$I$6,"① 효자 상품","② 인기 상품"),IF(C28&gt;=$I$6,"③ 숨은 상품","④ 정리 대상")))</f>
        <v/>
      </c>
      <c r="F28" s="38" t="str">
        <f aca="false">IF(E28="","",CHOOSE(VALUE(MID("1234",FIND(LEFT(E28,1),"①②③④"),1)),"앞에 내세우고 지킨다","원가를 줄이거나 가격을 조정한다","더 잘 보이게 알린다","빼거나 바꾼다"))</f>
        <v/>
      </c>
    </row>
    <row r="29" customFormat="false" ht="15" hidden="false" customHeight="false" outlineLevel="0" collapsed="false">
      <c r="A29" s="5"/>
      <c r="B29" s="19"/>
      <c r="C29" s="18"/>
      <c r="D29" s="20" t="str">
        <f aca="false">IF(OR(A29="",B29="",C29=""),"",B29*C29)</f>
        <v/>
      </c>
      <c r="E29" s="39" t="str">
        <f aca="false">IF(D29="","",IF(B29&gt;=$I$5,IF(C29&gt;=$I$6,"① 효자 상품","② 인기 상품"),IF(C29&gt;=$I$6,"③ 숨은 상품","④ 정리 대상")))</f>
        <v/>
      </c>
      <c r="F29" s="38" t="str">
        <f aca="false">IF(E29="","",CHOOSE(VALUE(MID("1234",FIND(LEFT(E29,1),"①②③④"),1)),"앞에 내세우고 지킨다","원가를 줄이거나 가격을 조정한다","더 잘 보이게 알린다","빼거나 바꾼다"))</f>
        <v/>
      </c>
    </row>
    <row r="30" customFormat="false" ht="15" hidden="false" customHeight="false" outlineLevel="0" collapsed="false">
      <c r="A30" s="5"/>
      <c r="B30" s="19"/>
      <c r="C30" s="18"/>
      <c r="D30" s="20" t="str">
        <f aca="false">IF(OR(A30="",B30="",C30=""),"",B30*C30)</f>
        <v/>
      </c>
      <c r="E30" s="39" t="str">
        <f aca="false">IF(D30="","",IF(B30&gt;=$I$5,IF(C30&gt;=$I$6,"① 효자 상품","② 인기 상품"),IF(C30&gt;=$I$6,"③ 숨은 상품","④ 정리 대상")))</f>
        <v/>
      </c>
      <c r="F30" s="38" t="str">
        <f aca="false">IF(E30="","",CHOOSE(VALUE(MID("1234",FIND(LEFT(E30,1),"①②③④"),1)),"앞에 내세우고 지킨다","원가를 줄이거나 가격을 조정한다","더 잘 보이게 알린다","빼거나 바꾼다"))</f>
        <v/>
      </c>
    </row>
    <row r="31" customFormat="false" ht="15" hidden="false" customHeight="false" outlineLevel="0" collapsed="false">
      <c r="A31" s="5"/>
      <c r="B31" s="19"/>
      <c r="C31" s="18"/>
      <c r="D31" s="20" t="str">
        <f aca="false">IF(OR(A31="",B31="",C31=""),"",B31*C31)</f>
        <v/>
      </c>
      <c r="E31" s="39" t="str">
        <f aca="false">IF(D31="","",IF(B31&gt;=$I$5,IF(C31&gt;=$I$6,"① 효자 상품","② 인기 상품"),IF(C31&gt;=$I$6,"③ 숨은 상품","④ 정리 대상")))</f>
        <v/>
      </c>
      <c r="F31" s="38" t="str">
        <f aca="false">IF(E31="","",CHOOSE(VALUE(MID("1234",FIND(LEFT(E31,1),"①②③④"),1)),"앞에 내세우고 지킨다","원가를 줄이거나 가격을 조정한다","더 잘 보이게 알린다","빼거나 바꾼다"))</f>
        <v/>
      </c>
    </row>
    <row r="32" customFormat="false" ht="15" hidden="false" customHeight="false" outlineLevel="0" collapsed="false">
      <c r="A32" s="5"/>
      <c r="B32" s="19"/>
      <c r="C32" s="18"/>
      <c r="D32" s="20" t="str">
        <f aca="false">IF(OR(A32="",B32="",C32=""),"",B32*C32)</f>
        <v/>
      </c>
      <c r="E32" s="39" t="str">
        <f aca="false">IF(D32="","",IF(B32&gt;=$I$5,IF(C32&gt;=$I$6,"① 효자 상품","② 인기 상품"),IF(C32&gt;=$I$6,"③ 숨은 상품","④ 정리 대상")))</f>
        <v/>
      </c>
      <c r="F32" s="38" t="str">
        <f aca="false">IF(E32="","",CHOOSE(VALUE(MID("1234",FIND(LEFT(E32,1),"①②③④"),1)),"앞에 내세우고 지킨다","원가를 줄이거나 가격을 조정한다","더 잘 보이게 알린다","빼거나 바꾼다"))</f>
        <v/>
      </c>
    </row>
    <row r="33" customFormat="false" ht="15" hidden="false" customHeight="false" outlineLevel="0" collapsed="false">
      <c r="A33" s="5"/>
      <c r="B33" s="19"/>
      <c r="C33" s="18"/>
      <c r="D33" s="20" t="str">
        <f aca="false">IF(OR(A33="",B33="",C33=""),"",B33*C33)</f>
        <v/>
      </c>
      <c r="E33" s="39" t="str">
        <f aca="false">IF(D33="","",IF(B33&gt;=$I$5,IF(C33&gt;=$I$6,"① 효자 상품","② 인기 상품"),IF(C33&gt;=$I$6,"③ 숨은 상품","④ 정리 대상")))</f>
        <v/>
      </c>
      <c r="F33" s="38" t="str">
        <f aca="false">IF(E33="","",CHOOSE(VALUE(MID("1234",FIND(LEFT(E33,1),"①②③④"),1)),"앞에 내세우고 지킨다","원가를 줄이거나 가격을 조정한다","더 잘 보이게 알린다","빼거나 바꾼다"))</f>
        <v/>
      </c>
    </row>
    <row r="34" customFormat="false" ht="15" hidden="false" customHeight="false" outlineLevel="0" collapsed="false">
      <c r="A34" s="5"/>
      <c r="B34" s="19"/>
      <c r="C34" s="18"/>
      <c r="D34" s="20" t="str">
        <f aca="false">IF(OR(A34="",B34="",C34=""),"",B34*C34)</f>
        <v/>
      </c>
      <c r="E34" s="39" t="str">
        <f aca="false">IF(D34="","",IF(B34&gt;=$I$5,IF(C34&gt;=$I$6,"① 효자 상품","② 인기 상품"),IF(C34&gt;=$I$6,"③ 숨은 상품","④ 정리 대상")))</f>
        <v/>
      </c>
      <c r="F34" s="38" t="str">
        <f aca="false">IF(E34="","",CHOOSE(VALUE(MID("1234",FIND(LEFT(E34,1),"①②③④"),1)),"앞에 내세우고 지킨다","원가를 줄이거나 가격을 조정한다","더 잘 보이게 알린다","빼거나 바꾼다"))</f>
        <v/>
      </c>
    </row>
  </sheetData>
  <conditionalFormatting sqref="E5:E34">
    <cfRule type="expression" priority="2" aboveAverage="0" equalAverage="0" bottom="0" percent="0" rank="0" text="" dxfId="1">
      <formula>LEFT(E5,1)="①"</formula>
    </cfRule>
    <cfRule type="expression" priority="3" aboveAverage="0" equalAverage="0" bottom="0" percent="0" rank="0" text="" dxfId="2">
      <formula>LEFT(E5,1)="②"</formula>
    </cfRule>
    <cfRule type="expression" priority="4" aboveAverage="0" equalAverage="0" bottom="0" percent="0" rank="0" text="" dxfId="3">
      <formula>LEFT(E5,1)="③"</formula>
    </cfRule>
    <cfRule type="expression" priority="5" aboveAverage="0" equalAverage="0" bottom="0" percent="0" rank="0" text="" dxfId="4">
      <formula>LEFT(E5,1)="④"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27.75" hidden="false" customHeight="true" outlineLevel="0" collapsed="false">
      <c r="A1" s="10" t="s">
        <v>110</v>
      </c>
    </row>
    <row r="2" customFormat="false" ht="15" hidden="false" customHeight="false" outlineLevel="0" collapsed="false">
      <c r="A2" s="11" t="s">
        <v>111</v>
      </c>
    </row>
    <row r="4" customFormat="false" ht="15" hidden="false" customHeight="false" outlineLevel="0" collapsed="false">
      <c r="A4" s="12" t="s">
        <v>112</v>
      </c>
      <c r="B4" s="18"/>
    </row>
    <row r="6" customFormat="false" ht="30" hidden="false" customHeight="true" outlineLevel="0" collapsed="false">
      <c r="A6" s="14" t="s">
        <v>113</v>
      </c>
      <c r="B6" s="14" t="s">
        <v>114</v>
      </c>
      <c r="C6" s="14" t="s">
        <v>115</v>
      </c>
      <c r="D6" s="14" t="s">
        <v>116</v>
      </c>
    </row>
    <row r="7" customFormat="false" ht="15" hidden="false" customHeight="false" outlineLevel="0" collapsed="false">
      <c r="A7" s="31" t="s">
        <v>117</v>
      </c>
      <c r="B7" s="37" t="n">
        <v>0.1</v>
      </c>
      <c r="C7" s="20" t="n">
        <f aca="false">B4*B7</f>
        <v>0</v>
      </c>
      <c r="D7" s="42" t="s">
        <v>118</v>
      </c>
    </row>
    <row r="8" customFormat="false" ht="15" hidden="false" customHeight="false" outlineLevel="0" collapsed="false">
      <c r="A8" s="31" t="s">
        <v>119</v>
      </c>
      <c r="B8" s="18"/>
      <c r="C8" s="20" t="n">
        <f aca="false">B8</f>
        <v>0</v>
      </c>
      <c r="D8" s="42" t="s">
        <v>120</v>
      </c>
    </row>
    <row r="9" customFormat="false" ht="15" hidden="false" customHeight="false" outlineLevel="0" collapsed="false">
      <c r="A9" s="31" t="s">
        <v>121</v>
      </c>
      <c r="B9" s="37" t="n">
        <v>0.03</v>
      </c>
      <c r="C9" s="20" t="n">
        <f aca="false">B4*B9</f>
        <v>0</v>
      </c>
      <c r="D9" s="42" t="s">
        <v>122</v>
      </c>
    </row>
    <row r="10" customFormat="false" ht="15" hidden="false" customHeight="false" outlineLevel="0" collapsed="false">
      <c r="A10" s="31" t="s">
        <v>123</v>
      </c>
      <c r="B10" s="38" t="s">
        <v>124</v>
      </c>
      <c r="C10" s="22" t="n">
        <f aca="false">B4-C7-C8-C9</f>
        <v>0</v>
      </c>
      <c r="D10" s="42" t="s">
        <v>125</v>
      </c>
    </row>
    <row r="12" customFormat="false" ht="15" hidden="false" customHeight="false" outlineLevel="0" collapsed="false">
      <c r="A12" s="21" t="s">
        <v>126</v>
      </c>
      <c r="C12" s="29" t="n">
        <f aca="false">IFERROR(C10/B4,0)</f>
        <v>0</v>
      </c>
      <c r="D12" s="43" t="str">
        <f aca="false">IF(B4="","",IF(C10&lt;0,"⚠ 운영비가 모자랍니다. 비율이나 사장 월급을 다시 보세요.",""))</f>
        <v/>
      </c>
    </row>
    <row r="14" customFormat="false" ht="15" hidden="false" customHeight="false" outlineLevel="0" collapsed="false">
      <c r="A14" s="27" t="s">
        <v>127</v>
      </c>
    </row>
    <row r="15" customFormat="false" ht="15" hidden="false" customHeight="false" outlineLevel="0" collapsed="false">
      <c r="A15" s="2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</cols>
  <sheetData>
    <row r="1" customFormat="false" ht="27.75" hidden="false" customHeight="true" outlineLevel="0" collapsed="false">
      <c r="A1" s="10" t="s">
        <v>129</v>
      </c>
    </row>
    <row r="2" customFormat="false" ht="15" hidden="false" customHeight="false" outlineLevel="0" collapsed="false">
      <c r="A2" s="11" t="s">
        <v>130</v>
      </c>
    </row>
    <row r="4" customFormat="false" ht="30" hidden="false" customHeight="true" outlineLevel="0" collapsed="false">
      <c r="A4" s="14" t="s">
        <v>131</v>
      </c>
      <c r="B4" s="14" t="s">
        <v>132</v>
      </c>
      <c r="C4" s="14" t="s">
        <v>133</v>
      </c>
      <c r="D4" s="14" t="s">
        <v>134</v>
      </c>
    </row>
    <row r="5" customFormat="false" ht="15" hidden="false" customHeight="false" outlineLevel="0" collapsed="false">
      <c r="A5" s="42" t="s">
        <v>135</v>
      </c>
      <c r="B5" s="44"/>
      <c r="C5" s="44"/>
      <c r="D5" s="44"/>
    </row>
    <row r="6" customFormat="false" ht="15" hidden="false" customHeight="false" outlineLevel="0" collapsed="false">
      <c r="A6" s="31" t="s">
        <v>136</v>
      </c>
      <c r="B6" s="18"/>
      <c r="C6" s="20" t="n">
        <f aca="false">B10</f>
        <v>0</v>
      </c>
      <c r="D6" s="20" t="n">
        <f aca="false">C10</f>
        <v>0</v>
      </c>
    </row>
    <row r="7" customFormat="false" ht="15" hidden="false" customHeight="false" outlineLevel="0" collapsed="false">
      <c r="A7" s="28" t="s">
        <v>137</v>
      </c>
      <c r="B7" s="18"/>
      <c r="C7" s="18"/>
      <c r="D7" s="18"/>
    </row>
    <row r="8" customFormat="false" ht="15" hidden="false" customHeight="false" outlineLevel="0" collapsed="false">
      <c r="A8" s="28" t="s">
        <v>138</v>
      </c>
      <c r="B8" s="18"/>
      <c r="C8" s="18"/>
      <c r="D8" s="18"/>
    </row>
    <row r="9" customFormat="false" ht="15" hidden="false" customHeight="false" outlineLevel="0" collapsed="false">
      <c r="A9" s="28" t="s">
        <v>139</v>
      </c>
      <c r="B9" s="18"/>
      <c r="C9" s="18"/>
      <c r="D9" s="18"/>
    </row>
    <row r="10" customFormat="false" ht="17.15" hidden="false" customHeight="false" outlineLevel="0" collapsed="false">
      <c r="A10" s="31" t="s">
        <v>140</v>
      </c>
      <c r="B10" s="22" t="n">
        <f aca="false">B6+B7-B8-B9</f>
        <v>0</v>
      </c>
      <c r="C10" s="22" t="n">
        <f aca="false">C6+C7-C8-C9</f>
        <v>0</v>
      </c>
      <c r="D10" s="22" t="n">
        <f aca="false">D6+D7-D8-D9</f>
        <v>0</v>
      </c>
    </row>
    <row r="11" customFormat="false" ht="15" hidden="false" customHeight="false" outlineLevel="0" collapsed="false">
      <c r="A11" s="28" t="s">
        <v>90</v>
      </c>
      <c r="B11" s="45" t="str">
        <f aca="false">IF(AND(B7="",B8=""),"",IF(B10&lt;0,"⚠ 부족",IF(B10&lt;B8*0.3,"주의","괜찮음")))</f>
        <v/>
      </c>
      <c r="C11" s="45" t="str">
        <f aca="false">IF(AND(C7="",C8=""),"",IF(C10&lt;0,"⚠ 부족",IF(C10&lt;C8*0.3,"주의","괜찮음")))</f>
        <v/>
      </c>
      <c r="D11" s="45" t="str">
        <f aca="false">IF(AND(D7="",D8=""),"",IF(D10&lt;0,"⚠ 부족",IF(D10&lt;D8*0.3,"주의","괜찮음")))</f>
        <v/>
      </c>
    </row>
    <row r="13" customFormat="false" ht="15" hidden="false" customHeight="false" outlineLevel="0" collapsed="false">
      <c r="A13" s="27" t="s">
        <v>141</v>
      </c>
    </row>
    <row r="14" customFormat="false" ht="15" hidden="false" customHeight="false" outlineLevel="0" collapsed="false">
      <c r="A14" s="27" t="s">
        <v>142</v>
      </c>
    </row>
  </sheetData>
  <conditionalFormatting sqref="B11:D11">
    <cfRule type="expression" priority="2" aboveAverage="0" equalAverage="0" bottom="0" percent="0" rank="0" text="" dxfId="5">
      <formula>ISNUMBER(SEARCH("부족",B11))</formula>
    </cfRule>
    <cfRule type="expression" priority="3" aboveAverage="0" equalAverage="0" bottom="0" percent="0" rank="0" text="" dxfId="1">
      <formula>B11="주의"</formula>
    </cfRule>
  </conditionalFormatting>
  <conditionalFormatting sqref="B10:D10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0" t="s">
        <v>143</v>
      </c>
    </row>
    <row r="2" customFormat="false" ht="15" hidden="false" customHeight="false" outlineLevel="0" collapsed="false">
      <c r="A2" s="11" t="s">
        <v>144</v>
      </c>
    </row>
    <row r="4" customFormat="false" ht="30" hidden="false" customHeight="true" outlineLevel="0" collapsed="false">
      <c r="A4" s="14" t="s">
        <v>145</v>
      </c>
      <c r="B4" s="14" t="s">
        <v>146</v>
      </c>
      <c r="C4" s="14" t="s">
        <v>147</v>
      </c>
      <c r="D4" s="14" t="s">
        <v>148</v>
      </c>
      <c r="E4" s="14" t="s">
        <v>149</v>
      </c>
    </row>
    <row r="5" customFormat="false" ht="29.85" hidden="false" customHeight="false" outlineLevel="0" collapsed="false">
      <c r="A5" s="46" t="s">
        <v>150</v>
      </c>
      <c r="B5" s="47" t="s">
        <v>151</v>
      </c>
      <c r="C5" s="46" t="s">
        <v>152</v>
      </c>
      <c r="D5" s="46" t="s">
        <v>153</v>
      </c>
      <c r="E5" s="44"/>
    </row>
    <row r="6" customFormat="false" ht="15" hidden="false" customHeight="false" outlineLevel="0" collapsed="false">
      <c r="A6" s="46" t="s">
        <v>154</v>
      </c>
      <c r="B6" s="47" t="s">
        <v>155</v>
      </c>
      <c r="C6" s="46" t="s">
        <v>156</v>
      </c>
      <c r="D6" s="46" t="s">
        <v>157</v>
      </c>
      <c r="E6" s="44"/>
    </row>
    <row r="7" customFormat="false" ht="15" hidden="false" customHeight="false" outlineLevel="0" collapsed="false">
      <c r="A7" s="46" t="s">
        <v>158</v>
      </c>
      <c r="B7" s="47" t="s">
        <v>151</v>
      </c>
      <c r="C7" s="46" t="s">
        <v>159</v>
      </c>
      <c r="D7" s="46" t="s">
        <v>160</v>
      </c>
      <c r="E7" s="44"/>
    </row>
    <row r="8" customFormat="false" ht="15" hidden="false" customHeight="false" outlineLevel="0" collapsed="false">
      <c r="A8" s="46" t="s">
        <v>161</v>
      </c>
      <c r="B8" s="47" t="s">
        <v>162</v>
      </c>
      <c r="C8" s="46" t="s">
        <v>163</v>
      </c>
      <c r="D8" s="46" t="s">
        <v>164</v>
      </c>
      <c r="E8" s="44"/>
    </row>
    <row r="9" customFormat="false" ht="15" hidden="false" customHeight="false" outlineLevel="0" collapsed="false">
      <c r="A9" s="46" t="s">
        <v>165</v>
      </c>
      <c r="B9" s="47" t="s">
        <v>151</v>
      </c>
      <c r="C9" s="46" t="s">
        <v>166</v>
      </c>
      <c r="D9" s="46" t="s">
        <v>167</v>
      </c>
      <c r="E9" s="44"/>
    </row>
    <row r="10" customFormat="false" ht="15" hidden="false" customHeight="false" outlineLevel="0" collapsed="false">
      <c r="A10" s="46" t="s">
        <v>168</v>
      </c>
      <c r="B10" s="47" t="s">
        <v>151</v>
      </c>
      <c r="C10" s="46" t="s">
        <v>169</v>
      </c>
      <c r="D10" s="46" t="s">
        <v>160</v>
      </c>
      <c r="E10" s="44"/>
    </row>
    <row r="11" customFormat="false" ht="15" hidden="false" customHeight="false" outlineLevel="0" collapsed="false">
      <c r="A11" s="46" t="s">
        <v>170</v>
      </c>
      <c r="B11" s="47" t="s">
        <v>171</v>
      </c>
      <c r="C11" s="46" t="s">
        <v>172</v>
      </c>
      <c r="D11" s="46" t="s">
        <v>160</v>
      </c>
      <c r="E11" s="44"/>
    </row>
    <row r="12" customFormat="false" ht="15" hidden="false" customHeight="false" outlineLevel="0" collapsed="false">
      <c r="A12" s="46" t="s">
        <v>173</v>
      </c>
      <c r="B12" s="47" t="s">
        <v>174</v>
      </c>
      <c r="C12" s="46" t="s">
        <v>175</v>
      </c>
      <c r="D12" s="46" t="s">
        <v>176</v>
      </c>
      <c r="E12" s="44"/>
    </row>
    <row r="15" customFormat="false" ht="15" hidden="false" customHeight="false" outlineLevel="0" collapsed="false">
      <c r="A15" s="15" t="s">
        <v>177</v>
      </c>
    </row>
    <row r="16" customFormat="false" ht="30" hidden="false" customHeight="true" outlineLevel="0" collapsed="false">
      <c r="A16" s="14" t="s">
        <v>145</v>
      </c>
      <c r="B16" s="14" t="s">
        <v>178</v>
      </c>
      <c r="C16" s="14" t="s">
        <v>179</v>
      </c>
      <c r="D16" s="14" t="s">
        <v>180</v>
      </c>
      <c r="E16" s="14" t="s">
        <v>181</v>
      </c>
      <c r="F16" s="14" t="s">
        <v>182</v>
      </c>
      <c r="G16" s="14" t="s">
        <v>183</v>
      </c>
    </row>
    <row r="17" customFormat="false" ht="15" hidden="false" customHeight="false" outlineLevel="0" collapsed="false">
      <c r="A17" s="26" t="s">
        <v>150</v>
      </c>
      <c r="B17" s="18"/>
      <c r="C17" s="37" t="n">
        <v>0.1</v>
      </c>
      <c r="D17" s="20" t="str">
        <f aca="false">IF(B17="","",B17*C17)</f>
        <v/>
      </c>
      <c r="E17" s="18"/>
      <c r="F17" s="20" t="n">
        <f aca="false">SUM($E$17:E17)</f>
        <v>0</v>
      </c>
      <c r="G17" s="20" t="str">
        <f aca="false">IF(B17="","",E17-D17)</f>
        <v/>
      </c>
    </row>
    <row r="18" customFormat="false" ht="15" hidden="false" customHeight="false" outlineLevel="0" collapsed="false">
      <c r="A18" s="26" t="s">
        <v>154</v>
      </c>
      <c r="B18" s="18"/>
      <c r="C18" s="37" t="n">
        <v>0.1</v>
      </c>
      <c r="D18" s="20" t="str">
        <f aca="false">IF(B18="","",B18*C18)</f>
        <v/>
      </c>
      <c r="E18" s="18"/>
      <c r="F18" s="20" t="n">
        <f aca="false">SUM($E$17:E18)</f>
        <v>0</v>
      </c>
      <c r="G18" s="20" t="str">
        <f aca="false">IF(B18="","",E18-D18)</f>
        <v/>
      </c>
    </row>
    <row r="19" customFormat="false" ht="15" hidden="false" customHeight="false" outlineLevel="0" collapsed="false">
      <c r="A19" s="26" t="s">
        <v>184</v>
      </c>
      <c r="B19" s="18"/>
      <c r="C19" s="37" t="n">
        <v>0.1</v>
      </c>
      <c r="D19" s="20" t="str">
        <f aca="false">IF(B19="","",B19*C19)</f>
        <v/>
      </c>
      <c r="E19" s="18"/>
      <c r="F19" s="20" t="n">
        <f aca="false">SUM($E$17:E19)</f>
        <v>0</v>
      </c>
      <c r="G19" s="20" t="str">
        <f aca="false">IF(B19="","",E19-D19)</f>
        <v/>
      </c>
    </row>
    <row r="20" customFormat="false" ht="15" hidden="false" customHeight="false" outlineLevel="0" collapsed="false">
      <c r="A20" s="26" t="s">
        <v>158</v>
      </c>
      <c r="B20" s="18"/>
      <c r="C20" s="37" t="n">
        <v>0.1</v>
      </c>
      <c r="D20" s="20" t="str">
        <f aca="false">IF(B20="","",B20*C20)</f>
        <v/>
      </c>
      <c r="E20" s="18"/>
      <c r="F20" s="20" t="n">
        <f aca="false">SUM($E$17:E20)</f>
        <v>0</v>
      </c>
      <c r="G20" s="20" t="str">
        <f aca="false">IF(B20="","",E20-D20)</f>
        <v/>
      </c>
    </row>
    <row r="21" customFormat="false" ht="15" hidden="false" customHeight="false" outlineLevel="0" collapsed="false">
      <c r="A21" s="26" t="s">
        <v>161</v>
      </c>
      <c r="B21" s="18"/>
      <c r="C21" s="37" t="n">
        <v>0.1</v>
      </c>
      <c r="D21" s="20" t="str">
        <f aca="false">IF(B21="","",B21*C21)</f>
        <v/>
      </c>
      <c r="E21" s="18"/>
      <c r="F21" s="20" t="n">
        <f aca="false">SUM($E$17:E21)</f>
        <v>0</v>
      </c>
      <c r="G21" s="20" t="str">
        <f aca="false">IF(B21="","",E21-D21)</f>
        <v/>
      </c>
    </row>
    <row r="22" customFormat="false" ht="15" hidden="false" customHeight="false" outlineLevel="0" collapsed="false">
      <c r="A22" s="26" t="s">
        <v>185</v>
      </c>
      <c r="B22" s="18"/>
      <c r="C22" s="37" t="n">
        <v>0.1</v>
      </c>
      <c r="D22" s="20" t="str">
        <f aca="false">IF(B22="","",B22*C22)</f>
        <v/>
      </c>
      <c r="E22" s="18"/>
      <c r="F22" s="20" t="n">
        <f aca="false">SUM($E$17:E22)</f>
        <v>0</v>
      </c>
      <c r="G22" s="20" t="str">
        <f aca="false">IF(B22="","",E22-D22)</f>
        <v/>
      </c>
    </row>
    <row r="23" customFormat="false" ht="15" hidden="false" customHeight="false" outlineLevel="0" collapsed="false">
      <c r="A23" s="26" t="s">
        <v>165</v>
      </c>
      <c r="B23" s="18"/>
      <c r="C23" s="37" t="n">
        <v>0.1</v>
      </c>
      <c r="D23" s="20" t="str">
        <f aca="false">IF(B23="","",B23*C23)</f>
        <v/>
      </c>
      <c r="E23" s="18"/>
      <c r="F23" s="20" t="n">
        <f aca="false">SUM($E$17:E23)</f>
        <v>0</v>
      </c>
      <c r="G23" s="20" t="str">
        <f aca="false">IF(B23="","",E23-D23)</f>
        <v/>
      </c>
    </row>
    <row r="24" customFormat="false" ht="15" hidden="false" customHeight="false" outlineLevel="0" collapsed="false">
      <c r="A24" s="26" t="s">
        <v>186</v>
      </c>
      <c r="B24" s="18"/>
      <c r="C24" s="37" t="n">
        <v>0.1</v>
      </c>
      <c r="D24" s="20" t="str">
        <f aca="false">IF(B24="","",B24*C24)</f>
        <v/>
      </c>
      <c r="E24" s="18"/>
      <c r="F24" s="20" t="n">
        <f aca="false">SUM($E$17:E24)</f>
        <v>0</v>
      </c>
      <c r="G24" s="20" t="str">
        <f aca="false">IF(B24="","",E24-D24)</f>
        <v/>
      </c>
    </row>
    <row r="25" customFormat="false" ht="15" hidden="false" customHeight="false" outlineLevel="0" collapsed="false">
      <c r="A25" s="26" t="s">
        <v>187</v>
      </c>
      <c r="B25" s="18"/>
      <c r="C25" s="37" t="n">
        <v>0.1</v>
      </c>
      <c r="D25" s="20" t="str">
        <f aca="false">IF(B25="","",B25*C25)</f>
        <v/>
      </c>
      <c r="E25" s="18"/>
      <c r="F25" s="20" t="n">
        <f aca="false">SUM($E$17:E25)</f>
        <v>0</v>
      </c>
      <c r="G25" s="20" t="str">
        <f aca="false">IF(B25="","",E25-D25)</f>
        <v/>
      </c>
    </row>
    <row r="26" customFormat="false" ht="15" hidden="false" customHeight="false" outlineLevel="0" collapsed="false">
      <c r="A26" s="26" t="s">
        <v>168</v>
      </c>
      <c r="B26" s="18"/>
      <c r="C26" s="37" t="n">
        <v>0.1</v>
      </c>
      <c r="D26" s="20" t="str">
        <f aca="false">IF(B26="","",B26*C26)</f>
        <v/>
      </c>
      <c r="E26" s="18"/>
      <c r="F26" s="20" t="n">
        <f aca="false">SUM($E$17:E26)</f>
        <v>0</v>
      </c>
      <c r="G26" s="20" t="str">
        <f aca="false">IF(B26="","",E26-D26)</f>
        <v/>
      </c>
    </row>
    <row r="27" customFormat="false" ht="15" hidden="false" customHeight="false" outlineLevel="0" collapsed="false">
      <c r="A27" s="26" t="s">
        <v>170</v>
      </c>
      <c r="B27" s="18"/>
      <c r="C27" s="37" t="n">
        <v>0.1</v>
      </c>
      <c r="D27" s="20" t="str">
        <f aca="false">IF(B27="","",B27*C27)</f>
        <v/>
      </c>
      <c r="E27" s="18"/>
      <c r="F27" s="20" t="n">
        <f aca="false">SUM($E$17:E27)</f>
        <v>0</v>
      </c>
      <c r="G27" s="20" t="str">
        <f aca="false">IF(B27="","",E27-D27)</f>
        <v/>
      </c>
    </row>
    <row r="28" customFormat="false" ht="15" hidden="false" customHeight="false" outlineLevel="0" collapsed="false">
      <c r="A28" s="26" t="s">
        <v>188</v>
      </c>
      <c r="B28" s="18"/>
      <c r="C28" s="37" t="n">
        <v>0.1</v>
      </c>
      <c r="D28" s="20" t="str">
        <f aca="false">IF(B28="","",B28*C28)</f>
        <v/>
      </c>
      <c r="E28" s="18"/>
      <c r="F28" s="20" t="n">
        <f aca="false">SUM($E$17:E28)</f>
        <v>0</v>
      </c>
      <c r="G28" s="20" t="str">
        <f aca="false">IF(B28="","",E28-D28)</f>
        <v/>
      </c>
    </row>
    <row r="29" customFormat="false" ht="15" hidden="false" customHeight="false" outlineLevel="0" collapsed="false">
      <c r="A29" s="12" t="s">
        <v>189</v>
      </c>
      <c r="B29" s="33" t="n">
        <f aca="false">SUM(B17:B28)</f>
        <v>0</v>
      </c>
      <c r="D29" s="33" t="n">
        <f aca="false">SUM(D17:D28)</f>
        <v>0</v>
      </c>
      <c r="E29" s="22" t="n">
        <f aca="false">SUM(E17:E28)</f>
        <v>0</v>
      </c>
    </row>
    <row r="31" customFormat="false" ht="15" hidden="false" customHeight="false" outlineLevel="0" collapsed="false">
      <c r="A31" s="27" t="s">
        <v>190</v>
      </c>
    </row>
  </sheetData>
  <conditionalFormatting sqref="G17:G2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Z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6" min="5" style="0" width="13"/>
    <col collapsed="false" customWidth="true" hidden="false" outlineLevel="0" max="7" min="7" style="0" width="18"/>
    <col collapsed="false" customWidth="true" hidden="false" outlineLevel="0" max="9" min="9" style="0" width="9"/>
    <col collapsed="false" customWidth="true" hidden="false" outlineLevel="0" max="12" min="10" style="0" width="14"/>
    <col collapsed="false" customWidth="true" hidden="false" outlineLevel="0" max="15" min="14" style="0" width="14"/>
    <col collapsed="false" customWidth="true" hidden="false" outlineLevel="0" max="16" min="16" style="0" width="10"/>
    <col collapsed="false" customWidth="true" hidden="true" outlineLevel="0" max="26" min="26" style="0" width="13"/>
  </cols>
  <sheetData>
    <row r="1" customFormat="false" ht="27.75" hidden="false" customHeight="true" outlineLevel="0" collapsed="false">
      <c r="A1" s="10" t="s">
        <v>191</v>
      </c>
    </row>
    <row r="2" customFormat="false" ht="15" hidden="false" customHeight="false" outlineLevel="0" collapsed="false">
      <c r="A2" s="11" t="s">
        <v>192</v>
      </c>
    </row>
    <row r="3" customFormat="false" ht="15" hidden="false" customHeight="false" outlineLevel="0" collapsed="false">
      <c r="A3" s="12" t="s">
        <v>193</v>
      </c>
      <c r="B3" s="48" t="n">
        <v>2026</v>
      </c>
    </row>
    <row r="4" customFormat="false" ht="19.4" hidden="false" customHeight="false" outlineLevel="0" collapsed="false">
      <c r="I4" s="15" t="s">
        <v>194</v>
      </c>
      <c r="N4" s="15" t="s">
        <v>195</v>
      </c>
    </row>
    <row r="5" customFormat="false" ht="30" hidden="false" customHeight="true" outlineLevel="0" collapsed="false">
      <c r="A5" s="14" t="s">
        <v>26</v>
      </c>
      <c r="B5" s="14" t="s">
        <v>196</v>
      </c>
      <c r="C5" s="14" t="s">
        <v>131</v>
      </c>
      <c r="D5" s="14" t="s">
        <v>147</v>
      </c>
      <c r="E5" s="14" t="s">
        <v>53</v>
      </c>
      <c r="F5" s="14" t="s">
        <v>197</v>
      </c>
      <c r="G5" s="14" t="s">
        <v>198</v>
      </c>
      <c r="I5" s="14" t="s">
        <v>145</v>
      </c>
      <c r="J5" s="14" t="s">
        <v>199</v>
      </c>
      <c r="K5" s="14" t="s">
        <v>200</v>
      </c>
      <c r="L5" s="14" t="s">
        <v>201</v>
      </c>
      <c r="N5" s="14" t="s">
        <v>131</v>
      </c>
      <c r="O5" s="14" t="s">
        <v>53</v>
      </c>
      <c r="P5" s="14" t="s">
        <v>202</v>
      </c>
      <c r="Z5" s="3" t="s">
        <v>203</v>
      </c>
    </row>
    <row r="6" customFormat="false" ht="15" hidden="false" customHeight="false" outlineLevel="0" collapsed="false">
      <c r="A6" s="13"/>
      <c r="B6" s="5"/>
      <c r="C6" s="5"/>
      <c r="D6" s="5"/>
      <c r="E6" s="18"/>
      <c r="F6" s="5"/>
      <c r="G6" s="5"/>
      <c r="I6" s="26" t="s">
        <v>150</v>
      </c>
      <c r="J6" s="20" t="n">
        <f aca="false">SUMIFS($E$6:$E$505,$B$6:$B$505,"수입",$A$6:$A$505,"&gt;="&amp;DATE($B$3,1,1),$A$6:$A$505,"&lt;"&amp;DATE($B$3,1+1,1))</f>
        <v>0</v>
      </c>
      <c r="K6" s="20" t="n">
        <f aca="false">SUMIFS($E$6:$E$505,$B$6:$B$505,"비용",$A$6:$A$505,"&gt;="&amp;DATE($B$3,1,1),$A$6:$A$505,"&lt;"&amp;DATE($B$3,1+1,1))</f>
        <v>0</v>
      </c>
      <c r="L6" s="20" t="n">
        <f aca="false">J6-K6</f>
        <v>0</v>
      </c>
      <c r="N6" s="28" t="s">
        <v>28</v>
      </c>
      <c r="O6" s="20" t="n">
        <f aca="false">SUMIFS($E$6:$E$505,$C$6:$C$505,N6,$A$6:$A$505,"&gt;="&amp;DATE($B$3,1,1),$A$6:$A$505,"&lt;"&amp;DATE($B$3+1,1,1))</f>
        <v>0</v>
      </c>
      <c r="P6" s="29" t="n">
        <f aca="false">IFERROR(O6/$J$18,0)</f>
        <v>0</v>
      </c>
      <c r="Z6" s="3" t="s">
        <v>28</v>
      </c>
    </row>
    <row r="7" customFormat="false" ht="15" hidden="false" customHeight="false" outlineLevel="0" collapsed="false">
      <c r="A7" s="13"/>
      <c r="B7" s="5"/>
      <c r="C7" s="5"/>
      <c r="D7" s="5"/>
      <c r="E7" s="18"/>
      <c r="F7" s="5"/>
      <c r="G7" s="5"/>
      <c r="I7" s="26" t="s">
        <v>154</v>
      </c>
      <c r="J7" s="20" t="n">
        <f aca="false">SUMIFS($E$6:$E$505,$B$6:$B$505,"수입",$A$6:$A$505,"&gt;="&amp;DATE($B$3,2,1),$A$6:$A$505,"&lt;"&amp;DATE($B$3,2+1,1))</f>
        <v>0</v>
      </c>
      <c r="K7" s="20" t="n">
        <f aca="false">SUMIFS($E$6:$E$505,$B$6:$B$505,"비용",$A$6:$A$505,"&gt;="&amp;DATE($B$3,2,1),$A$6:$A$505,"&lt;"&amp;DATE($B$3,2+1,1))</f>
        <v>0</v>
      </c>
      <c r="L7" s="20" t="n">
        <f aca="false">J7-K7</f>
        <v>0</v>
      </c>
      <c r="N7" s="28" t="s">
        <v>204</v>
      </c>
      <c r="O7" s="20" t="n">
        <f aca="false">SUMIFS($E$6:$E$505,$C$6:$C$505,N7,$A$6:$A$505,"&gt;="&amp;DATE($B$3,1,1),$A$6:$A$505,"&lt;"&amp;DATE($B$3+1,1,1))</f>
        <v>0</v>
      </c>
      <c r="P7" s="29" t="n">
        <f aca="false">IFERROR(O7/$J$18,0)</f>
        <v>0</v>
      </c>
      <c r="Z7" s="3" t="s">
        <v>204</v>
      </c>
    </row>
    <row r="8" customFormat="false" ht="17.15" hidden="false" customHeight="false" outlineLevel="0" collapsed="false">
      <c r="A8" s="13"/>
      <c r="B8" s="5"/>
      <c r="C8" s="5"/>
      <c r="D8" s="5"/>
      <c r="E8" s="18"/>
      <c r="F8" s="5"/>
      <c r="G8" s="5"/>
      <c r="I8" s="26" t="s">
        <v>184</v>
      </c>
      <c r="J8" s="20" t="n">
        <f aca="false">SUMIFS($E$6:$E$505,$B$6:$B$505,"수입",$A$6:$A$505,"&gt;="&amp;DATE($B$3,3,1),$A$6:$A$505,"&lt;"&amp;DATE($B$3,3+1,1))</f>
        <v>0</v>
      </c>
      <c r="K8" s="20" t="n">
        <f aca="false">SUMIFS($E$6:$E$505,$B$6:$B$505,"비용",$A$6:$A$505,"&gt;="&amp;DATE($B$3,3,1),$A$6:$A$505,"&lt;"&amp;DATE($B$3,3+1,1))</f>
        <v>0</v>
      </c>
      <c r="L8" s="20" t="n">
        <f aca="false">J8-K8</f>
        <v>0</v>
      </c>
      <c r="N8" s="28" t="s">
        <v>205</v>
      </c>
      <c r="O8" s="20" t="n">
        <f aca="false">SUMIFS($E$6:$E$505,$C$6:$C$505,N8,$A$6:$A$505,"&gt;="&amp;DATE($B$3,1,1),$A$6:$A$505,"&lt;"&amp;DATE($B$3+1,1,1))</f>
        <v>0</v>
      </c>
      <c r="P8" s="29" t="n">
        <f aca="false">IFERROR(O8/$K$18,0)</f>
        <v>0</v>
      </c>
      <c r="Z8" s="3" t="s">
        <v>205</v>
      </c>
    </row>
    <row r="9" customFormat="false" ht="15" hidden="false" customHeight="false" outlineLevel="0" collapsed="false">
      <c r="A9" s="13"/>
      <c r="B9" s="5"/>
      <c r="C9" s="5"/>
      <c r="D9" s="5"/>
      <c r="E9" s="18"/>
      <c r="F9" s="5"/>
      <c r="G9" s="5"/>
      <c r="I9" s="26" t="s">
        <v>158</v>
      </c>
      <c r="J9" s="20" t="n">
        <f aca="false">SUMIFS($E$6:$E$505,$B$6:$B$505,"수입",$A$6:$A$505,"&gt;="&amp;DATE($B$3,4,1),$A$6:$A$505,"&lt;"&amp;DATE($B$3,4+1,1))</f>
        <v>0</v>
      </c>
      <c r="K9" s="20" t="n">
        <f aca="false">SUMIFS($E$6:$E$505,$B$6:$B$505,"비용",$A$6:$A$505,"&gt;="&amp;DATE($B$3,4,1),$A$6:$A$505,"&lt;"&amp;DATE($B$3,4+1,1))</f>
        <v>0</v>
      </c>
      <c r="L9" s="20" t="n">
        <f aca="false">J9-K9</f>
        <v>0</v>
      </c>
      <c r="N9" s="28" t="s">
        <v>206</v>
      </c>
      <c r="O9" s="20" t="n">
        <f aca="false">SUMIFS($E$6:$E$505,$C$6:$C$505,N9,$A$6:$A$505,"&gt;="&amp;DATE($B$3,1,1),$A$6:$A$505,"&lt;"&amp;DATE($B$3+1,1,1))</f>
        <v>0</v>
      </c>
      <c r="P9" s="29" t="n">
        <f aca="false">IFERROR(O9/$K$18,0)</f>
        <v>0</v>
      </c>
      <c r="Z9" s="3" t="s">
        <v>206</v>
      </c>
    </row>
    <row r="10" customFormat="false" ht="15" hidden="false" customHeight="false" outlineLevel="0" collapsed="false">
      <c r="A10" s="13"/>
      <c r="B10" s="5"/>
      <c r="C10" s="5"/>
      <c r="D10" s="5"/>
      <c r="E10" s="18"/>
      <c r="F10" s="5"/>
      <c r="G10" s="5"/>
      <c r="I10" s="26" t="s">
        <v>161</v>
      </c>
      <c r="J10" s="20" t="n">
        <f aca="false">SUMIFS($E$6:$E$505,$B$6:$B$505,"수입",$A$6:$A$505,"&gt;="&amp;DATE($B$3,5,1),$A$6:$A$505,"&lt;"&amp;DATE($B$3,5+1,1))</f>
        <v>0</v>
      </c>
      <c r="K10" s="20" t="n">
        <f aca="false">SUMIFS($E$6:$E$505,$B$6:$B$505,"비용",$A$6:$A$505,"&gt;="&amp;DATE($B$3,5,1),$A$6:$A$505,"&lt;"&amp;DATE($B$3,5+1,1))</f>
        <v>0</v>
      </c>
      <c r="L10" s="20" t="n">
        <f aca="false">J10-K10</f>
        <v>0</v>
      </c>
      <c r="N10" s="28" t="s">
        <v>207</v>
      </c>
      <c r="O10" s="20" t="n">
        <f aca="false">SUMIFS($E$6:$E$505,$C$6:$C$505,N10,$A$6:$A$505,"&gt;="&amp;DATE($B$3,1,1),$A$6:$A$505,"&lt;"&amp;DATE($B$3+1,1,1))</f>
        <v>0</v>
      </c>
      <c r="P10" s="29" t="n">
        <f aca="false">IFERROR(O10/$K$18,0)</f>
        <v>0</v>
      </c>
      <c r="Z10" s="3" t="s">
        <v>207</v>
      </c>
    </row>
    <row r="11" customFormat="false" ht="15" hidden="false" customHeight="false" outlineLevel="0" collapsed="false">
      <c r="A11" s="13"/>
      <c r="B11" s="5"/>
      <c r="C11" s="5"/>
      <c r="D11" s="5"/>
      <c r="E11" s="18"/>
      <c r="F11" s="5"/>
      <c r="G11" s="5"/>
      <c r="I11" s="26" t="s">
        <v>185</v>
      </c>
      <c r="J11" s="20" t="n">
        <f aca="false">SUMIFS($E$6:$E$505,$B$6:$B$505,"수입",$A$6:$A$505,"&gt;="&amp;DATE($B$3,6,1),$A$6:$A$505,"&lt;"&amp;DATE($B$3,6+1,1))</f>
        <v>0</v>
      </c>
      <c r="K11" s="20" t="n">
        <f aca="false">SUMIFS($E$6:$E$505,$B$6:$B$505,"비용",$A$6:$A$505,"&gt;="&amp;DATE($B$3,6,1),$A$6:$A$505,"&lt;"&amp;DATE($B$3,6+1,1))</f>
        <v>0</v>
      </c>
      <c r="L11" s="20" t="n">
        <f aca="false">J11-K11</f>
        <v>0</v>
      </c>
      <c r="N11" s="28" t="s">
        <v>208</v>
      </c>
      <c r="O11" s="20" t="n">
        <f aca="false">SUMIFS($E$6:$E$505,$C$6:$C$505,N11,$A$6:$A$505,"&gt;="&amp;DATE($B$3,1,1),$A$6:$A$505,"&lt;"&amp;DATE($B$3+1,1,1))</f>
        <v>0</v>
      </c>
      <c r="P11" s="29" t="n">
        <f aca="false">IFERROR(O11/$K$18,0)</f>
        <v>0</v>
      </c>
      <c r="Z11" s="3" t="s">
        <v>208</v>
      </c>
    </row>
    <row r="12" customFormat="false" ht="15" hidden="false" customHeight="false" outlineLevel="0" collapsed="false">
      <c r="A12" s="13"/>
      <c r="B12" s="5"/>
      <c r="C12" s="5"/>
      <c r="D12" s="5"/>
      <c r="E12" s="18"/>
      <c r="F12" s="5"/>
      <c r="G12" s="5"/>
      <c r="I12" s="26" t="s">
        <v>165</v>
      </c>
      <c r="J12" s="20" t="n">
        <f aca="false">SUMIFS($E$6:$E$505,$B$6:$B$505,"수입",$A$6:$A$505,"&gt;="&amp;DATE($B$3,7,1),$A$6:$A$505,"&lt;"&amp;DATE($B$3,7+1,1))</f>
        <v>0</v>
      </c>
      <c r="K12" s="20" t="n">
        <f aca="false">SUMIFS($E$6:$E$505,$B$6:$B$505,"비용",$A$6:$A$505,"&gt;="&amp;DATE($B$3,7,1),$A$6:$A$505,"&lt;"&amp;DATE($B$3,7+1,1))</f>
        <v>0</v>
      </c>
      <c r="L12" s="20" t="n">
        <f aca="false">J12-K12</f>
        <v>0</v>
      </c>
      <c r="N12" s="28" t="s">
        <v>209</v>
      </c>
      <c r="O12" s="20" t="n">
        <f aca="false">SUMIFS($E$6:$E$505,$C$6:$C$505,N12,$A$6:$A$505,"&gt;="&amp;DATE($B$3,1,1),$A$6:$A$505,"&lt;"&amp;DATE($B$3+1,1,1))</f>
        <v>0</v>
      </c>
      <c r="P12" s="29" t="n">
        <f aca="false">IFERROR(O12/$K$18,0)</f>
        <v>0</v>
      </c>
      <c r="Z12" s="3" t="s">
        <v>209</v>
      </c>
    </row>
    <row r="13" customFormat="false" ht="15" hidden="false" customHeight="false" outlineLevel="0" collapsed="false">
      <c r="A13" s="13"/>
      <c r="B13" s="5"/>
      <c r="C13" s="5"/>
      <c r="D13" s="5"/>
      <c r="E13" s="18"/>
      <c r="F13" s="5"/>
      <c r="G13" s="5"/>
      <c r="I13" s="26" t="s">
        <v>186</v>
      </c>
      <c r="J13" s="20" t="n">
        <f aca="false">SUMIFS($E$6:$E$505,$B$6:$B$505,"수입",$A$6:$A$505,"&gt;="&amp;DATE($B$3,8,1),$A$6:$A$505,"&lt;"&amp;DATE($B$3,8+1,1))</f>
        <v>0</v>
      </c>
      <c r="K13" s="20" t="n">
        <f aca="false">SUMIFS($E$6:$E$505,$B$6:$B$505,"비용",$A$6:$A$505,"&gt;="&amp;DATE($B$3,8,1),$A$6:$A$505,"&lt;"&amp;DATE($B$3,8+1,1))</f>
        <v>0</v>
      </c>
      <c r="L13" s="20" t="n">
        <f aca="false">J13-K13</f>
        <v>0</v>
      </c>
      <c r="N13" s="28" t="s">
        <v>210</v>
      </c>
      <c r="O13" s="20" t="n">
        <f aca="false">SUMIFS($E$6:$E$505,$C$6:$C$505,N13,$A$6:$A$505,"&gt;="&amp;DATE($B$3,1,1),$A$6:$A$505,"&lt;"&amp;DATE($B$3+1,1,1))</f>
        <v>0</v>
      </c>
      <c r="P13" s="29" t="n">
        <f aca="false">IFERROR(O13/$K$18,0)</f>
        <v>0</v>
      </c>
      <c r="Z13" s="3" t="s">
        <v>210</v>
      </c>
    </row>
    <row r="14" customFormat="false" ht="15" hidden="false" customHeight="false" outlineLevel="0" collapsed="false">
      <c r="A14" s="13"/>
      <c r="B14" s="5"/>
      <c r="C14" s="5"/>
      <c r="D14" s="5"/>
      <c r="E14" s="18"/>
      <c r="F14" s="5"/>
      <c r="G14" s="5"/>
      <c r="I14" s="26" t="s">
        <v>187</v>
      </c>
      <c r="J14" s="20" t="n">
        <f aca="false">SUMIFS($E$6:$E$505,$B$6:$B$505,"수입",$A$6:$A$505,"&gt;="&amp;DATE($B$3,9,1),$A$6:$A$505,"&lt;"&amp;DATE($B$3,9+1,1))</f>
        <v>0</v>
      </c>
      <c r="K14" s="20" t="n">
        <f aca="false">SUMIFS($E$6:$E$505,$B$6:$B$505,"비용",$A$6:$A$505,"&gt;="&amp;DATE($B$3,9,1),$A$6:$A$505,"&lt;"&amp;DATE($B$3,9+1,1))</f>
        <v>0</v>
      </c>
      <c r="L14" s="20" t="n">
        <f aca="false">J14-K14</f>
        <v>0</v>
      </c>
      <c r="N14" s="28" t="s">
        <v>211</v>
      </c>
      <c r="O14" s="20" t="n">
        <f aca="false">SUMIFS($E$6:$E$505,$C$6:$C$505,N14,$A$6:$A$505,"&gt;="&amp;DATE($B$3,1,1),$A$6:$A$505,"&lt;"&amp;DATE($B$3+1,1,1))</f>
        <v>0</v>
      </c>
      <c r="P14" s="29" t="n">
        <f aca="false">IFERROR(O14/$K$18,0)</f>
        <v>0</v>
      </c>
      <c r="Z14" s="3" t="s">
        <v>211</v>
      </c>
    </row>
    <row r="15" customFormat="false" ht="15" hidden="false" customHeight="false" outlineLevel="0" collapsed="false">
      <c r="A15" s="13"/>
      <c r="B15" s="5"/>
      <c r="C15" s="5"/>
      <c r="D15" s="5"/>
      <c r="E15" s="18"/>
      <c r="F15" s="5"/>
      <c r="G15" s="5"/>
      <c r="I15" s="26" t="s">
        <v>168</v>
      </c>
      <c r="J15" s="20" t="n">
        <f aca="false">SUMIFS($E$6:$E$505,$B$6:$B$505,"수입",$A$6:$A$505,"&gt;="&amp;DATE($B$3,10,1),$A$6:$A$505,"&lt;"&amp;DATE($B$3,10+1,1))</f>
        <v>0</v>
      </c>
      <c r="K15" s="20" t="n">
        <f aca="false">SUMIFS($E$6:$E$505,$B$6:$B$505,"비용",$A$6:$A$505,"&gt;="&amp;DATE($B$3,10,1),$A$6:$A$505,"&lt;"&amp;DATE($B$3,10+1,1))</f>
        <v>0</v>
      </c>
      <c r="L15" s="20" t="n">
        <f aca="false">J15-K15</f>
        <v>0</v>
      </c>
      <c r="N15" s="28" t="s">
        <v>212</v>
      </c>
      <c r="O15" s="20" t="n">
        <f aca="false">SUMIFS($E$6:$E$505,$C$6:$C$505,N15,$A$6:$A$505,"&gt;="&amp;DATE($B$3,1,1),$A$6:$A$505,"&lt;"&amp;DATE($B$3+1,1,1))</f>
        <v>0</v>
      </c>
      <c r="P15" s="29" t="n">
        <f aca="false">IFERROR(O15/$K$18,0)</f>
        <v>0</v>
      </c>
      <c r="Z15" s="3" t="s">
        <v>212</v>
      </c>
    </row>
    <row r="16" customFormat="false" ht="17.15" hidden="false" customHeight="false" outlineLevel="0" collapsed="false">
      <c r="A16" s="13"/>
      <c r="B16" s="5"/>
      <c r="C16" s="5"/>
      <c r="D16" s="5"/>
      <c r="E16" s="18"/>
      <c r="F16" s="5"/>
      <c r="G16" s="5"/>
      <c r="I16" s="26" t="s">
        <v>170</v>
      </c>
      <c r="J16" s="20" t="n">
        <f aca="false">SUMIFS($E$6:$E$505,$B$6:$B$505,"수입",$A$6:$A$505,"&gt;="&amp;DATE($B$3,11,1),$A$6:$A$505,"&lt;"&amp;DATE($B$3,11+1,1))</f>
        <v>0</v>
      </c>
      <c r="K16" s="20" t="n">
        <f aca="false">SUMIFS($E$6:$E$505,$B$6:$B$505,"비용",$A$6:$A$505,"&gt;="&amp;DATE($B$3,11,1),$A$6:$A$505,"&lt;"&amp;DATE($B$3,11+1,1))</f>
        <v>0</v>
      </c>
      <c r="L16" s="20" t="n">
        <f aca="false">J16-K16</f>
        <v>0</v>
      </c>
      <c r="N16" s="28" t="s">
        <v>213</v>
      </c>
      <c r="O16" s="20" t="n">
        <f aca="false">SUMIFS($E$6:$E$505,$C$6:$C$505,N16,$A$6:$A$505,"&gt;="&amp;DATE($B$3,1,1),$A$6:$A$505,"&lt;"&amp;DATE($B$3+1,1,1))</f>
        <v>0</v>
      </c>
      <c r="P16" s="29" t="n">
        <f aca="false">IFERROR(O16/$K$18,0)</f>
        <v>0</v>
      </c>
      <c r="Z16" s="3" t="s">
        <v>213</v>
      </c>
    </row>
    <row r="17" customFormat="false" ht="15" hidden="false" customHeight="false" outlineLevel="0" collapsed="false">
      <c r="A17" s="13"/>
      <c r="B17" s="5"/>
      <c r="C17" s="5"/>
      <c r="D17" s="5"/>
      <c r="E17" s="18"/>
      <c r="F17" s="5"/>
      <c r="G17" s="5"/>
      <c r="I17" s="26" t="s">
        <v>188</v>
      </c>
      <c r="J17" s="20" t="n">
        <f aca="false">SUMIFS($E$6:$E$505,$B$6:$B$505,"수입",$A$6:$A$505,"&gt;="&amp;DATE($B$3,12,1),$A$6:$A$505,"&lt;"&amp;DATE($B$3,12+1,1))</f>
        <v>0</v>
      </c>
      <c r="K17" s="20" t="n">
        <f aca="false">SUMIFS($E$6:$E$505,$B$6:$B$505,"비용",$A$6:$A$505,"&gt;="&amp;DATE($B$3,12,1),$A$6:$A$505,"&lt;"&amp;DATE($B$3,12+1,1))</f>
        <v>0</v>
      </c>
      <c r="L17" s="20" t="n">
        <f aca="false">J17-K17</f>
        <v>0</v>
      </c>
      <c r="N17" s="28" t="s">
        <v>214</v>
      </c>
      <c r="O17" s="20" t="n">
        <f aca="false">SUMIFS($E$6:$E$505,$C$6:$C$505,N17,$A$6:$A$505,"&gt;="&amp;DATE($B$3,1,1),$A$6:$A$505,"&lt;"&amp;DATE($B$3+1,1,1))</f>
        <v>0</v>
      </c>
      <c r="P17" s="29" t="n">
        <f aca="false">IFERROR(O17/$K$18,0)</f>
        <v>0</v>
      </c>
      <c r="Z17" s="3" t="s">
        <v>214</v>
      </c>
    </row>
    <row r="18" customFormat="false" ht="17.15" hidden="false" customHeight="false" outlineLevel="0" collapsed="false">
      <c r="A18" s="13"/>
      <c r="B18" s="5"/>
      <c r="C18" s="5"/>
      <c r="D18" s="5"/>
      <c r="E18" s="18"/>
      <c r="F18" s="5"/>
      <c r="G18" s="5"/>
      <c r="I18" s="12" t="s">
        <v>215</v>
      </c>
      <c r="J18" s="33" t="n">
        <f aca="false">SUM(J6:J17)</f>
        <v>0</v>
      </c>
      <c r="K18" s="33" t="n">
        <f aca="false">SUM(K6:K17)</f>
        <v>0</v>
      </c>
      <c r="L18" s="22" t="n">
        <f aca="false">SUM(L6:L17)</f>
        <v>0</v>
      </c>
      <c r="N18" s="28" t="s">
        <v>216</v>
      </c>
      <c r="O18" s="20" t="n">
        <f aca="false">SUMIFS($E$6:$E$505,$C$6:$C$505,N18,$A$6:$A$505,"&gt;="&amp;DATE($B$3,1,1),$A$6:$A$505,"&lt;"&amp;DATE($B$3+1,1,1))</f>
        <v>0</v>
      </c>
      <c r="P18" s="29" t="n">
        <f aca="false">IFERROR(O18/$K$18,0)</f>
        <v>0</v>
      </c>
      <c r="Z18" s="3" t="s">
        <v>216</v>
      </c>
    </row>
    <row r="19" customFormat="false" ht="15" hidden="false" customHeight="false" outlineLevel="0" collapsed="false">
      <c r="A19" s="13"/>
      <c r="B19" s="5"/>
      <c r="C19" s="5"/>
      <c r="D19" s="5"/>
      <c r="E19" s="18"/>
      <c r="F19" s="5"/>
      <c r="G19" s="5"/>
    </row>
    <row r="20" customFormat="false" ht="15" hidden="false" customHeight="false" outlineLevel="0" collapsed="false">
      <c r="A20" s="13"/>
      <c r="B20" s="5"/>
      <c r="C20" s="5"/>
      <c r="D20" s="5"/>
      <c r="E20" s="18"/>
      <c r="F20" s="5"/>
      <c r="G20" s="5"/>
      <c r="N20" s="49" t="s">
        <v>217</v>
      </c>
      <c r="O20" s="20" t="n">
        <f aca="false">SUMIFS($E$6:$E$505,$B$6:$B$505,"비용",$F$6:$F$505,"없음")</f>
        <v>0</v>
      </c>
    </row>
    <row r="21" customFormat="false" ht="15" hidden="false" customHeight="false" outlineLevel="0" collapsed="false">
      <c r="A21" s="13"/>
      <c r="B21" s="5"/>
      <c r="C21" s="5"/>
      <c r="D21" s="5"/>
      <c r="E21" s="18"/>
      <c r="F21" s="5"/>
      <c r="G21" s="5"/>
      <c r="N21" s="27" t="s">
        <v>218</v>
      </c>
    </row>
    <row r="22" customFormat="false" ht="15" hidden="false" customHeight="false" outlineLevel="0" collapsed="false">
      <c r="A22" s="13"/>
      <c r="B22" s="5"/>
      <c r="C22" s="5"/>
      <c r="D22" s="5"/>
      <c r="E22" s="18"/>
      <c r="F22" s="5"/>
      <c r="G22" s="5"/>
    </row>
    <row r="23" customFormat="false" ht="15" hidden="false" customHeight="false" outlineLevel="0" collapsed="false">
      <c r="A23" s="13"/>
      <c r="B23" s="5"/>
      <c r="C23" s="5"/>
      <c r="D23" s="5"/>
      <c r="E23" s="18"/>
      <c r="F23" s="5"/>
      <c r="G23" s="5"/>
    </row>
    <row r="24" customFormat="false" ht="15" hidden="false" customHeight="false" outlineLevel="0" collapsed="false">
      <c r="A24" s="13"/>
      <c r="B24" s="5"/>
      <c r="C24" s="5"/>
      <c r="D24" s="5"/>
      <c r="E24" s="18"/>
      <c r="F24" s="5"/>
      <c r="G24" s="5"/>
    </row>
    <row r="25" customFormat="false" ht="15" hidden="false" customHeight="false" outlineLevel="0" collapsed="false">
      <c r="A25" s="13"/>
      <c r="B25" s="5"/>
      <c r="C25" s="5"/>
      <c r="D25" s="5"/>
      <c r="E25" s="18"/>
      <c r="F25" s="5"/>
      <c r="G25" s="5"/>
    </row>
    <row r="26" customFormat="false" ht="15" hidden="false" customHeight="false" outlineLevel="0" collapsed="false">
      <c r="A26" s="13"/>
      <c r="B26" s="5"/>
      <c r="C26" s="5"/>
      <c r="D26" s="5"/>
      <c r="E26" s="18"/>
      <c r="F26" s="5"/>
      <c r="G26" s="5"/>
    </row>
    <row r="27" customFormat="false" ht="15" hidden="false" customHeight="false" outlineLevel="0" collapsed="false">
      <c r="A27" s="13"/>
      <c r="B27" s="5"/>
      <c r="C27" s="5"/>
      <c r="D27" s="5"/>
      <c r="E27" s="18"/>
      <c r="F27" s="5"/>
      <c r="G27" s="5"/>
    </row>
    <row r="28" customFormat="false" ht="15" hidden="false" customHeight="false" outlineLevel="0" collapsed="false">
      <c r="A28" s="13"/>
      <c r="B28" s="5"/>
      <c r="C28" s="5"/>
      <c r="D28" s="5"/>
      <c r="E28" s="18"/>
      <c r="F28" s="5"/>
      <c r="G28" s="5"/>
    </row>
    <row r="29" customFormat="false" ht="15" hidden="false" customHeight="false" outlineLevel="0" collapsed="false">
      <c r="A29" s="13"/>
      <c r="B29" s="5"/>
      <c r="C29" s="5"/>
      <c r="D29" s="5"/>
      <c r="E29" s="18"/>
      <c r="F29" s="5"/>
      <c r="G29" s="5"/>
    </row>
    <row r="30" customFormat="false" ht="15" hidden="false" customHeight="false" outlineLevel="0" collapsed="false">
      <c r="A30" s="13"/>
      <c r="B30" s="5"/>
      <c r="C30" s="5"/>
      <c r="D30" s="5"/>
      <c r="E30" s="18"/>
      <c r="F30" s="5"/>
      <c r="G30" s="5"/>
    </row>
    <row r="31" customFormat="false" ht="15" hidden="false" customHeight="false" outlineLevel="0" collapsed="false">
      <c r="A31" s="13"/>
      <c r="B31" s="5"/>
      <c r="C31" s="5"/>
      <c r="D31" s="5"/>
      <c r="E31" s="18"/>
      <c r="F31" s="5"/>
      <c r="G31" s="5"/>
    </row>
    <row r="32" customFormat="false" ht="15" hidden="false" customHeight="false" outlineLevel="0" collapsed="false">
      <c r="A32" s="13"/>
      <c r="B32" s="5"/>
      <c r="C32" s="5"/>
      <c r="D32" s="5"/>
      <c r="E32" s="18"/>
      <c r="F32" s="5"/>
      <c r="G32" s="5"/>
    </row>
    <row r="33" customFormat="false" ht="15" hidden="false" customHeight="false" outlineLevel="0" collapsed="false">
      <c r="A33" s="13"/>
      <c r="B33" s="5"/>
      <c r="C33" s="5"/>
      <c r="D33" s="5"/>
      <c r="E33" s="18"/>
      <c r="F33" s="5"/>
      <c r="G33" s="5"/>
    </row>
    <row r="34" customFormat="false" ht="15" hidden="false" customHeight="false" outlineLevel="0" collapsed="false">
      <c r="A34" s="13"/>
      <c r="B34" s="5"/>
      <c r="C34" s="5"/>
      <c r="D34" s="5"/>
      <c r="E34" s="18"/>
      <c r="F34" s="5"/>
      <c r="G34" s="5"/>
    </row>
    <row r="35" customFormat="false" ht="15" hidden="false" customHeight="false" outlineLevel="0" collapsed="false">
      <c r="A35" s="13"/>
      <c r="B35" s="5"/>
      <c r="C35" s="5"/>
      <c r="D35" s="5"/>
      <c r="E35" s="18"/>
      <c r="F35" s="5"/>
      <c r="G35" s="5"/>
    </row>
    <row r="36" customFormat="false" ht="15" hidden="false" customHeight="false" outlineLevel="0" collapsed="false">
      <c r="A36" s="13"/>
      <c r="B36" s="5"/>
      <c r="C36" s="5"/>
      <c r="D36" s="5"/>
      <c r="E36" s="18"/>
      <c r="F36" s="5"/>
      <c r="G36" s="5"/>
    </row>
    <row r="37" customFormat="false" ht="15" hidden="false" customHeight="false" outlineLevel="0" collapsed="false">
      <c r="A37" s="13"/>
      <c r="B37" s="5"/>
      <c r="C37" s="5"/>
      <c r="D37" s="5"/>
      <c r="E37" s="18"/>
      <c r="F37" s="5"/>
      <c r="G37" s="5"/>
    </row>
    <row r="38" customFormat="false" ht="15" hidden="false" customHeight="false" outlineLevel="0" collapsed="false">
      <c r="A38" s="13"/>
      <c r="B38" s="5"/>
      <c r="C38" s="5"/>
      <c r="D38" s="5"/>
      <c r="E38" s="18"/>
      <c r="F38" s="5"/>
      <c r="G38" s="5"/>
    </row>
    <row r="39" customFormat="false" ht="15" hidden="false" customHeight="false" outlineLevel="0" collapsed="false">
      <c r="A39" s="13"/>
      <c r="B39" s="5"/>
      <c r="C39" s="5"/>
      <c r="D39" s="5"/>
      <c r="E39" s="18"/>
      <c r="F39" s="5"/>
      <c r="G39" s="5"/>
    </row>
    <row r="40" customFormat="false" ht="15" hidden="false" customHeight="false" outlineLevel="0" collapsed="false">
      <c r="A40" s="13"/>
      <c r="B40" s="5"/>
      <c r="C40" s="5"/>
      <c r="D40" s="5"/>
      <c r="E40" s="18"/>
      <c r="F40" s="5"/>
      <c r="G40" s="5"/>
    </row>
    <row r="41" customFormat="false" ht="15" hidden="false" customHeight="false" outlineLevel="0" collapsed="false">
      <c r="A41" s="13"/>
      <c r="B41" s="5"/>
      <c r="C41" s="5"/>
      <c r="D41" s="5"/>
      <c r="E41" s="18"/>
      <c r="F41" s="5"/>
      <c r="G41" s="5"/>
    </row>
    <row r="42" customFormat="false" ht="15" hidden="false" customHeight="false" outlineLevel="0" collapsed="false">
      <c r="A42" s="13"/>
      <c r="B42" s="5"/>
      <c r="C42" s="5"/>
      <c r="D42" s="5"/>
      <c r="E42" s="18"/>
      <c r="F42" s="5"/>
      <c r="G42" s="5"/>
    </row>
    <row r="43" customFormat="false" ht="15" hidden="false" customHeight="false" outlineLevel="0" collapsed="false">
      <c r="A43" s="13"/>
      <c r="B43" s="5"/>
      <c r="C43" s="5"/>
      <c r="D43" s="5"/>
      <c r="E43" s="18"/>
      <c r="F43" s="5"/>
      <c r="G43" s="5"/>
    </row>
    <row r="44" customFormat="false" ht="15" hidden="false" customHeight="false" outlineLevel="0" collapsed="false">
      <c r="A44" s="13"/>
      <c r="B44" s="5"/>
      <c r="C44" s="5"/>
      <c r="D44" s="5"/>
      <c r="E44" s="18"/>
      <c r="F44" s="5"/>
      <c r="G44" s="5"/>
    </row>
    <row r="45" customFormat="false" ht="15" hidden="false" customHeight="false" outlineLevel="0" collapsed="false">
      <c r="A45" s="13"/>
      <c r="B45" s="5"/>
      <c r="C45" s="5"/>
      <c r="D45" s="5"/>
      <c r="E45" s="18"/>
      <c r="F45" s="5"/>
      <c r="G45" s="5"/>
    </row>
    <row r="46" customFormat="false" ht="15" hidden="false" customHeight="false" outlineLevel="0" collapsed="false">
      <c r="A46" s="13"/>
      <c r="B46" s="5"/>
      <c r="C46" s="5"/>
      <c r="D46" s="5"/>
      <c r="E46" s="18"/>
      <c r="F46" s="5"/>
      <c r="G46" s="5"/>
    </row>
    <row r="47" customFormat="false" ht="15" hidden="false" customHeight="false" outlineLevel="0" collapsed="false">
      <c r="A47" s="13"/>
      <c r="B47" s="5"/>
      <c r="C47" s="5"/>
      <c r="D47" s="5"/>
      <c r="E47" s="18"/>
      <c r="F47" s="5"/>
      <c r="G47" s="5"/>
    </row>
    <row r="48" customFormat="false" ht="15" hidden="false" customHeight="false" outlineLevel="0" collapsed="false">
      <c r="A48" s="13"/>
      <c r="B48" s="5"/>
      <c r="C48" s="5"/>
      <c r="D48" s="5"/>
      <c r="E48" s="18"/>
      <c r="F48" s="5"/>
      <c r="G48" s="5"/>
    </row>
    <row r="49" customFormat="false" ht="15" hidden="false" customHeight="false" outlineLevel="0" collapsed="false">
      <c r="A49" s="13"/>
      <c r="B49" s="5"/>
      <c r="C49" s="5"/>
      <c r="D49" s="5"/>
      <c r="E49" s="18"/>
      <c r="F49" s="5"/>
      <c r="G49" s="5"/>
    </row>
    <row r="50" customFormat="false" ht="15" hidden="false" customHeight="false" outlineLevel="0" collapsed="false">
      <c r="A50" s="13"/>
      <c r="B50" s="5"/>
      <c r="C50" s="5"/>
      <c r="D50" s="5"/>
      <c r="E50" s="18"/>
      <c r="F50" s="5"/>
      <c r="G50" s="5"/>
    </row>
    <row r="51" customFormat="false" ht="15" hidden="false" customHeight="false" outlineLevel="0" collapsed="false">
      <c r="A51" s="13"/>
      <c r="B51" s="5"/>
      <c r="C51" s="5"/>
      <c r="D51" s="5"/>
      <c r="E51" s="18"/>
      <c r="F51" s="5"/>
      <c r="G51" s="5"/>
    </row>
    <row r="52" customFormat="false" ht="15" hidden="false" customHeight="false" outlineLevel="0" collapsed="false">
      <c r="A52" s="13"/>
      <c r="B52" s="5"/>
      <c r="C52" s="5"/>
      <c r="D52" s="5"/>
      <c r="E52" s="18"/>
      <c r="F52" s="5"/>
      <c r="G52" s="5"/>
    </row>
    <row r="53" customFormat="false" ht="15" hidden="false" customHeight="false" outlineLevel="0" collapsed="false">
      <c r="A53" s="13"/>
      <c r="B53" s="5"/>
      <c r="C53" s="5"/>
      <c r="D53" s="5"/>
      <c r="E53" s="18"/>
      <c r="F53" s="5"/>
      <c r="G53" s="5"/>
    </row>
    <row r="54" customFormat="false" ht="15" hidden="false" customHeight="false" outlineLevel="0" collapsed="false">
      <c r="A54" s="13"/>
      <c r="B54" s="5"/>
      <c r="C54" s="5"/>
      <c r="D54" s="5"/>
      <c r="E54" s="18"/>
      <c r="F54" s="5"/>
      <c r="G54" s="5"/>
    </row>
    <row r="55" customFormat="false" ht="15" hidden="false" customHeight="false" outlineLevel="0" collapsed="false">
      <c r="A55" s="13"/>
      <c r="B55" s="5"/>
      <c r="C55" s="5"/>
      <c r="D55" s="5"/>
      <c r="E55" s="18"/>
      <c r="F55" s="5"/>
      <c r="G55" s="5"/>
    </row>
    <row r="56" customFormat="false" ht="15" hidden="false" customHeight="false" outlineLevel="0" collapsed="false">
      <c r="A56" s="13"/>
      <c r="B56" s="5"/>
      <c r="C56" s="5"/>
      <c r="D56" s="5"/>
      <c r="E56" s="18"/>
      <c r="F56" s="5"/>
      <c r="G56" s="5"/>
    </row>
    <row r="57" customFormat="false" ht="15" hidden="false" customHeight="false" outlineLevel="0" collapsed="false">
      <c r="A57" s="13"/>
      <c r="B57" s="5"/>
      <c r="C57" s="5"/>
      <c r="D57" s="5"/>
      <c r="E57" s="18"/>
      <c r="F57" s="5"/>
      <c r="G57" s="5"/>
    </row>
    <row r="58" customFormat="false" ht="15" hidden="false" customHeight="false" outlineLevel="0" collapsed="false">
      <c r="A58" s="13"/>
      <c r="B58" s="5"/>
      <c r="C58" s="5"/>
      <c r="D58" s="5"/>
      <c r="E58" s="18"/>
      <c r="F58" s="5"/>
      <c r="G58" s="5"/>
    </row>
    <row r="59" customFormat="false" ht="15" hidden="false" customHeight="false" outlineLevel="0" collapsed="false">
      <c r="A59" s="13"/>
      <c r="B59" s="5"/>
      <c r="C59" s="5"/>
      <c r="D59" s="5"/>
      <c r="E59" s="18"/>
      <c r="F59" s="5"/>
      <c r="G59" s="5"/>
    </row>
    <row r="60" customFormat="false" ht="15" hidden="false" customHeight="false" outlineLevel="0" collapsed="false">
      <c r="A60" s="13"/>
      <c r="B60" s="5"/>
      <c r="C60" s="5"/>
      <c r="D60" s="5"/>
      <c r="E60" s="18"/>
      <c r="F60" s="5"/>
      <c r="G60" s="5"/>
    </row>
    <row r="61" customFormat="false" ht="15" hidden="false" customHeight="false" outlineLevel="0" collapsed="false">
      <c r="A61" s="13"/>
      <c r="B61" s="5"/>
      <c r="C61" s="5"/>
      <c r="D61" s="5"/>
      <c r="E61" s="18"/>
      <c r="F61" s="5"/>
      <c r="G61" s="5"/>
    </row>
    <row r="62" customFormat="false" ht="15" hidden="false" customHeight="false" outlineLevel="0" collapsed="false">
      <c r="A62" s="13"/>
      <c r="B62" s="5"/>
      <c r="C62" s="5"/>
      <c r="D62" s="5"/>
      <c r="E62" s="18"/>
      <c r="F62" s="5"/>
      <c r="G62" s="5"/>
    </row>
    <row r="63" customFormat="false" ht="15" hidden="false" customHeight="false" outlineLevel="0" collapsed="false">
      <c r="A63" s="13"/>
      <c r="B63" s="5"/>
      <c r="C63" s="5"/>
      <c r="D63" s="5"/>
      <c r="E63" s="18"/>
      <c r="F63" s="5"/>
      <c r="G63" s="5"/>
    </row>
    <row r="64" customFormat="false" ht="15" hidden="false" customHeight="false" outlineLevel="0" collapsed="false">
      <c r="A64" s="13"/>
      <c r="B64" s="5"/>
      <c r="C64" s="5"/>
      <c r="D64" s="5"/>
      <c r="E64" s="18"/>
      <c r="F64" s="5"/>
      <c r="G64" s="5"/>
    </row>
    <row r="65" customFormat="false" ht="15" hidden="false" customHeight="false" outlineLevel="0" collapsed="false">
      <c r="A65" s="13"/>
      <c r="B65" s="5"/>
      <c r="C65" s="5"/>
      <c r="D65" s="5"/>
      <c r="E65" s="18"/>
      <c r="F65" s="5"/>
      <c r="G65" s="5"/>
    </row>
    <row r="66" customFormat="false" ht="15" hidden="false" customHeight="false" outlineLevel="0" collapsed="false">
      <c r="A66" s="13"/>
      <c r="B66" s="5"/>
      <c r="C66" s="5"/>
      <c r="D66" s="5"/>
      <c r="E66" s="18"/>
      <c r="F66" s="5"/>
      <c r="G66" s="5"/>
    </row>
    <row r="67" customFormat="false" ht="15" hidden="false" customHeight="false" outlineLevel="0" collapsed="false">
      <c r="A67" s="13"/>
      <c r="B67" s="5"/>
      <c r="C67" s="5"/>
      <c r="D67" s="5"/>
      <c r="E67" s="18"/>
      <c r="F67" s="5"/>
      <c r="G67" s="5"/>
    </row>
    <row r="68" customFormat="false" ht="15" hidden="false" customHeight="false" outlineLevel="0" collapsed="false">
      <c r="A68" s="13"/>
      <c r="B68" s="5"/>
      <c r="C68" s="5"/>
      <c r="D68" s="5"/>
      <c r="E68" s="18"/>
      <c r="F68" s="5"/>
      <c r="G68" s="5"/>
    </row>
    <row r="69" customFormat="false" ht="15" hidden="false" customHeight="false" outlineLevel="0" collapsed="false">
      <c r="A69" s="13"/>
      <c r="B69" s="5"/>
      <c r="C69" s="5"/>
      <c r="D69" s="5"/>
      <c r="E69" s="18"/>
      <c r="F69" s="5"/>
      <c r="G69" s="5"/>
    </row>
    <row r="70" customFormat="false" ht="15" hidden="false" customHeight="false" outlineLevel="0" collapsed="false">
      <c r="A70" s="13"/>
      <c r="B70" s="5"/>
      <c r="C70" s="5"/>
      <c r="D70" s="5"/>
      <c r="E70" s="18"/>
      <c r="F70" s="5"/>
      <c r="G70" s="5"/>
    </row>
    <row r="71" customFormat="false" ht="15" hidden="false" customHeight="false" outlineLevel="0" collapsed="false">
      <c r="A71" s="13"/>
      <c r="B71" s="5"/>
      <c r="C71" s="5"/>
      <c r="D71" s="5"/>
      <c r="E71" s="18"/>
      <c r="F71" s="5"/>
      <c r="G71" s="5"/>
    </row>
    <row r="72" customFormat="false" ht="15" hidden="false" customHeight="false" outlineLevel="0" collapsed="false">
      <c r="A72" s="13"/>
      <c r="B72" s="5"/>
      <c r="C72" s="5"/>
      <c r="D72" s="5"/>
      <c r="E72" s="18"/>
      <c r="F72" s="5"/>
      <c r="G72" s="5"/>
    </row>
    <row r="73" customFormat="false" ht="15" hidden="false" customHeight="false" outlineLevel="0" collapsed="false">
      <c r="A73" s="13"/>
      <c r="B73" s="5"/>
      <c r="C73" s="5"/>
      <c r="D73" s="5"/>
      <c r="E73" s="18"/>
      <c r="F73" s="5"/>
      <c r="G73" s="5"/>
    </row>
    <row r="74" customFormat="false" ht="15" hidden="false" customHeight="false" outlineLevel="0" collapsed="false">
      <c r="A74" s="13"/>
      <c r="B74" s="5"/>
      <c r="C74" s="5"/>
      <c r="D74" s="5"/>
      <c r="E74" s="18"/>
      <c r="F74" s="5"/>
      <c r="G74" s="5"/>
    </row>
    <row r="75" customFormat="false" ht="15" hidden="false" customHeight="false" outlineLevel="0" collapsed="false">
      <c r="A75" s="13"/>
      <c r="B75" s="5"/>
      <c r="C75" s="5"/>
      <c r="D75" s="5"/>
      <c r="E75" s="18"/>
      <c r="F75" s="5"/>
      <c r="G75" s="5"/>
    </row>
    <row r="76" customFormat="false" ht="15" hidden="false" customHeight="false" outlineLevel="0" collapsed="false">
      <c r="A76" s="13"/>
      <c r="B76" s="5"/>
      <c r="C76" s="5"/>
      <c r="D76" s="5"/>
      <c r="E76" s="18"/>
      <c r="F76" s="5"/>
      <c r="G76" s="5"/>
    </row>
    <row r="77" customFormat="false" ht="15" hidden="false" customHeight="false" outlineLevel="0" collapsed="false">
      <c r="A77" s="13"/>
      <c r="B77" s="5"/>
      <c r="C77" s="5"/>
      <c r="D77" s="5"/>
      <c r="E77" s="18"/>
      <c r="F77" s="5"/>
      <c r="G77" s="5"/>
    </row>
    <row r="78" customFormat="false" ht="15" hidden="false" customHeight="false" outlineLevel="0" collapsed="false">
      <c r="A78" s="13"/>
      <c r="B78" s="5"/>
      <c r="C78" s="5"/>
      <c r="D78" s="5"/>
      <c r="E78" s="18"/>
      <c r="F78" s="5"/>
      <c r="G78" s="5"/>
    </row>
    <row r="79" customFormat="false" ht="15" hidden="false" customHeight="false" outlineLevel="0" collapsed="false">
      <c r="A79" s="13"/>
      <c r="B79" s="5"/>
      <c r="C79" s="5"/>
      <c r="D79" s="5"/>
      <c r="E79" s="18"/>
      <c r="F79" s="5"/>
      <c r="G79" s="5"/>
    </row>
    <row r="80" customFormat="false" ht="15" hidden="false" customHeight="false" outlineLevel="0" collapsed="false">
      <c r="A80" s="13"/>
      <c r="B80" s="5"/>
      <c r="C80" s="5"/>
      <c r="D80" s="5"/>
      <c r="E80" s="18"/>
      <c r="F80" s="5"/>
      <c r="G80" s="5"/>
    </row>
    <row r="81" customFormat="false" ht="15" hidden="false" customHeight="false" outlineLevel="0" collapsed="false">
      <c r="A81" s="13"/>
      <c r="B81" s="5"/>
      <c r="C81" s="5"/>
      <c r="D81" s="5"/>
      <c r="E81" s="18"/>
      <c r="F81" s="5"/>
      <c r="G81" s="5"/>
    </row>
    <row r="82" customFormat="false" ht="15" hidden="false" customHeight="false" outlineLevel="0" collapsed="false">
      <c r="A82" s="13"/>
      <c r="B82" s="5"/>
      <c r="C82" s="5"/>
      <c r="D82" s="5"/>
      <c r="E82" s="18"/>
      <c r="F82" s="5"/>
      <c r="G82" s="5"/>
    </row>
    <row r="83" customFormat="false" ht="15" hidden="false" customHeight="false" outlineLevel="0" collapsed="false">
      <c r="A83" s="13"/>
      <c r="B83" s="5"/>
      <c r="C83" s="5"/>
      <c r="D83" s="5"/>
      <c r="E83" s="18"/>
      <c r="F83" s="5"/>
      <c r="G83" s="5"/>
    </row>
    <row r="84" customFormat="false" ht="15" hidden="false" customHeight="false" outlineLevel="0" collapsed="false">
      <c r="A84" s="13"/>
      <c r="B84" s="5"/>
      <c r="C84" s="5"/>
      <c r="D84" s="5"/>
      <c r="E84" s="18"/>
      <c r="F84" s="5"/>
      <c r="G84" s="5"/>
    </row>
    <row r="85" customFormat="false" ht="15" hidden="false" customHeight="false" outlineLevel="0" collapsed="false">
      <c r="A85" s="13"/>
      <c r="B85" s="5"/>
      <c r="C85" s="5"/>
      <c r="D85" s="5"/>
      <c r="E85" s="18"/>
      <c r="F85" s="5"/>
      <c r="G85" s="5"/>
    </row>
    <row r="86" customFormat="false" ht="15" hidden="false" customHeight="false" outlineLevel="0" collapsed="false">
      <c r="A86" s="13"/>
      <c r="B86" s="5"/>
      <c r="C86" s="5"/>
      <c r="D86" s="5"/>
      <c r="E86" s="18"/>
      <c r="F86" s="5"/>
      <c r="G86" s="5"/>
    </row>
    <row r="87" customFormat="false" ht="15" hidden="false" customHeight="false" outlineLevel="0" collapsed="false">
      <c r="A87" s="13"/>
      <c r="B87" s="5"/>
      <c r="C87" s="5"/>
      <c r="D87" s="5"/>
      <c r="E87" s="18"/>
      <c r="F87" s="5"/>
      <c r="G87" s="5"/>
    </row>
    <row r="88" customFormat="false" ht="15" hidden="false" customHeight="false" outlineLevel="0" collapsed="false">
      <c r="A88" s="13"/>
      <c r="B88" s="5"/>
      <c r="C88" s="5"/>
      <c r="D88" s="5"/>
      <c r="E88" s="18"/>
      <c r="F88" s="5"/>
      <c r="G88" s="5"/>
    </row>
    <row r="89" customFormat="false" ht="15" hidden="false" customHeight="false" outlineLevel="0" collapsed="false">
      <c r="A89" s="13"/>
      <c r="B89" s="5"/>
      <c r="C89" s="5"/>
      <c r="D89" s="5"/>
      <c r="E89" s="18"/>
      <c r="F89" s="5"/>
      <c r="G89" s="5"/>
    </row>
    <row r="90" customFormat="false" ht="15" hidden="false" customHeight="false" outlineLevel="0" collapsed="false">
      <c r="A90" s="13"/>
      <c r="B90" s="5"/>
      <c r="C90" s="5"/>
      <c r="D90" s="5"/>
      <c r="E90" s="18"/>
      <c r="F90" s="5"/>
      <c r="G90" s="5"/>
    </row>
    <row r="91" customFormat="false" ht="15" hidden="false" customHeight="false" outlineLevel="0" collapsed="false">
      <c r="A91" s="13"/>
      <c r="B91" s="5"/>
      <c r="C91" s="5"/>
      <c r="D91" s="5"/>
      <c r="E91" s="18"/>
      <c r="F91" s="5"/>
      <c r="G91" s="5"/>
    </row>
    <row r="92" customFormat="false" ht="15" hidden="false" customHeight="false" outlineLevel="0" collapsed="false">
      <c r="A92" s="13"/>
      <c r="B92" s="5"/>
      <c r="C92" s="5"/>
      <c r="D92" s="5"/>
      <c r="E92" s="18"/>
      <c r="F92" s="5"/>
      <c r="G92" s="5"/>
    </row>
    <row r="93" customFormat="false" ht="15" hidden="false" customHeight="false" outlineLevel="0" collapsed="false">
      <c r="A93" s="13"/>
      <c r="B93" s="5"/>
      <c r="C93" s="5"/>
      <c r="D93" s="5"/>
      <c r="E93" s="18"/>
      <c r="F93" s="5"/>
      <c r="G93" s="5"/>
    </row>
    <row r="94" customFormat="false" ht="15" hidden="false" customHeight="false" outlineLevel="0" collapsed="false">
      <c r="A94" s="13"/>
      <c r="B94" s="5"/>
      <c r="C94" s="5"/>
      <c r="D94" s="5"/>
      <c r="E94" s="18"/>
      <c r="F94" s="5"/>
      <c r="G94" s="5"/>
    </row>
    <row r="95" customFormat="false" ht="15" hidden="false" customHeight="false" outlineLevel="0" collapsed="false">
      <c r="A95" s="13"/>
      <c r="B95" s="5"/>
      <c r="C95" s="5"/>
      <c r="D95" s="5"/>
      <c r="E95" s="18"/>
      <c r="F95" s="5"/>
      <c r="G95" s="5"/>
    </row>
    <row r="96" customFormat="false" ht="15" hidden="false" customHeight="false" outlineLevel="0" collapsed="false">
      <c r="A96" s="13"/>
      <c r="B96" s="5"/>
      <c r="C96" s="5"/>
      <c r="D96" s="5"/>
      <c r="E96" s="18"/>
      <c r="F96" s="5"/>
      <c r="G96" s="5"/>
    </row>
    <row r="97" customFormat="false" ht="15" hidden="false" customHeight="false" outlineLevel="0" collapsed="false">
      <c r="A97" s="13"/>
      <c r="B97" s="5"/>
      <c r="C97" s="5"/>
      <c r="D97" s="5"/>
      <c r="E97" s="18"/>
      <c r="F97" s="5"/>
      <c r="G97" s="5"/>
    </row>
    <row r="98" customFormat="false" ht="15" hidden="false" customHeight="false" outlineLevel="0" collapsed="false">
      <c r="A98" s="13"/>
      <c r="B98" s="5"/>
      <c r="C98" s="5"/>
      <c r="D98" s="5"/>
      <c r="E98" s="18"/>
      <c r="F98" s="5"/>
      <c r="G98" s="5"/>
    </row>
    <row r="99" customFormat="false" ht="15" hidden="false" customHeight="false" outlineLevel="0" collapsed="false">
      <c r="A99" s="13"/>
      <c r="B99" s="5"/>
      <c r="C99" s="5"/>
      <c r="D99" s="5"/>
      <c r="E99" s="18"/>
      <c r="F99" s="5"/>
      <c r="G99" s="5"/>
    </row>
    <row r="100" customFormat="false" ht="15" hidden="false" customHeight="false" outlineLevel="0" collapsed="false">
      <c r="A100" s="13"/>
      <c r="B100" s="5"/>
      <c r="C100" s="5"/>
      <c r="D100" s="5"/>
      <c r="E100" s="18"/>
      <c r="F100" s="5"/>
      <c r="G100" s="5"/>
    </row>
    <row r="101" customFormat="false" ht="15" hidden="false" customHeight="false" outlineLevel="0" collapsed="false">
      <c r="A101" s="13"/>
      <c r="B101" s="5"/>
      <c r="C101" s="5"/>
      <c r="D101" s="5"/>
      <c r="E101" s="18"/>
      <c r="F101" s="5"/>
      <c r="G101" s="5"/>
    </row>
    <row r="102" customFormat="false" ht="15" hidden="false" customHeight="false" outlineLevel="0" collapsed="false">
      <c r="A102" s="13"/>
      <c r="B102" s="5"/>
      <c r="C102" s="5"/>
      <c r="D102" s="5"/>
      <c r="E102" s="18"/>
      <c r="F102" s="5"/>
      <c r="G102" s="5"/>
    </row>
    <row r="103" customFormat="false" ht="15" hidden="false" customHeight="false" outlineLevel="0" collapsed="false">
      <c r="A103" s="13"/>
      <c r="B103" s="5"/>
      <c r="C103" s="5"/>
      <c r="D103" s="5"/>
      <c r="E103" s="18"/>
      <c r="F103" s="5"/>
      <c r="G103" s="5"/>
    </row>
    <row r="104" customFormat="false" ht="15" hidden="false" customHeight="false" outlineLevel="0" collapsed="false">
      <c r="A104" s="13"/>
      <c r="B104" s="5"/>
      <c r="C104" s="5"/>
      <c r="D104" s="5"/>
      <c r="E104" s="18"/>
      <c r="F104" s="5"/>
      <c r="G104" s="5"/>
    </row>
    <row r="105" customFormat="false" ht="15" hidden="false" customHeight="false" outlineLevel="0" collapsed="false">
      <c r="A105" s="13"/>
      <c r="B105" s="5"/>
      <c r="C105" s="5"/>
      <c r="D105" s="5"/>
      <c r="E105" s="18"/>
      <c r="F105" s="5"/>
      <c r="G105" s="5"/>
    </row>
    <row r="106" customFormat="false" ht="15" hidden="false" customHeight="false" outlineLevel="0" collapsed="false">
      <c r="A106" s="13"/>
      <c r="B106" s="5"/>
      <c r="C106" s="5"/>
      <c r="D106" s="5"/>
      <c r="E106" s="18"/>
      <c r="F106" s="5"/>
      <c r="G106" s="5"/>
    </row>
    <row r="107" customFormat="false" ht="15" hidden="false" customHeight="false" outlineLevel="0" collapsed="false">
      <c r="A107" s="13"/>
      <c r="B107" s="5"/>
      <c r="C107" s="5"/>
      <c r="D107" s="5"/>
      <c r="E107" s="18"/>
      <c r="F107" s="5"/>
      <c r="G107" s="5"/>
    </row>
    <row r="108" customFormat="false" ht="15" hidden="false" customHeight="false" outlineLevel="0" collapsed="false">
      <c r="A108" s="13"/>
      <c r="B108" s="5"/>
      <c r="C108" s="5"/>
      <c r="D108" s="5"/>
      <c r="E108" s="18"/>
      <c r="F108" s="5"/>
      <c r="G108" s="5"/>
    </row>
    <row r="109" customFormat="false" ht="15" hidden="false" customHeight="false" outlineLevel="0" collapsed="false">
      <c r="A109" s="13"/>
      <c r="B109" s="5"/>
      <c r="C109" s="5"/>
      <c r="D109" s="5"/>
      <c r="E109" s="18"/>
      <c r="F109" s="5"/>
      <c r="G109" s="5"/>
    </row>
    <row r="110" customFormat="false" ht="15" hidden="false" customHeight="false" outlineLevel="0" collapsed="false">
      <c r="A110" s="13"/>
      <c r="B110" s="5"/>
      <c r="C110" s="5"/>
      <c r="D110" s="5"/>
      <c r="E110" s="18"/>
      <c r="F110" s="5"/>
      <c r="G110" s="5"/>
    </row>
    <row r="111" customFormat="false" ht="15" hidden="false" customHeight="false" outlineLevel="0" collapsed="false">
      <c r="A111" s="13"/>
      <c r="B111" s="5"/>
      <c r="C111" s="5"/>
      <c r="D111" s="5"/>
      <c r="E111" s="18"/>
      <c r="F111" s="5"/>
      <c r="G111" s="5"/>
    </row>
    <row r="112" customFormat="false" ht="15" hidden="false" customHeight="false" outlineLevel="0" collapsed="false">
      <c r="A112" s="13"/>
      <c r="B112" s="5"/>
      <c r="C112" s="5"/>
      <c r="D112" s="5"/>
      <c r="E112" s="18"/>
      <c r="F112" s="5"/>
      <c r="G112" s="5"/>
    </row>
    <row r="113" customFormat="false" ht="15" hidden="false" customHeight="false" outlineLevel="0" collapsed="false">
      <c r="A113" s="13"/>
      <c r="B113" s="5"/>
      <c r="C113" s="5"/>
      <c r="D113" s="5"/>
      <c r="E113" s="18"/>
      <c r="F113" s="5"/>
      <c r="G113" s="5"/>
    </row>
    <row r="114" customFormat="false" ht="15" hidden="false" customHeight="false" outlineLevel="0" collapsed="false">
      <c r="A114" s="13"/>
      <c r="B114" s="5"/>
      <c r="C114" s="5"/>
      <c r="D114" s="5"/>
      <c r="E114" s="18"/>
      <c r="F114" s="5"/>
      <c r="G114" s="5"/>
    </row>
    <row r="115" customFormat="false" ht="15" hidden="false" customHeight="false" outlineLevel="0" collapsed="false">
      <c r="A115" s="13"/>
      <c r="B115" s="5"/>
      <c r="C115" s="5"/>
      <c r="D115" s="5"/>
      <c r="E115" s="18"/>
      <c r="F115" s="5"/>
      <c r="G115" s="5"/>
    </row>
    <row r="116" customFormat="false" ht="15" hidden="false" customHeight="false" outlineLevel="0" collapsed="false">
      <c r="A116" s="13"/>
      <c r="B116" s="5"/>
      <c r="C116" s="5"/>
      <c r="D116" s="5"/>
      <c r="E116" s="18"/>
      <c r="F116" s="5"/>
      <c r="G116" s="5"/>
    </row>
    <row r="117" customFormat="false" ht="15" hidden="false" customHeight="false" outlineLevel="0" collapsed="false">
      <c r="A117" s="13"/>
      <c r="B117" s="5"/>
      <c r="C117" s="5"/>
      <c r="D117" s="5"/>
      <c r="E117" s="18"/>
      <c r="F117" s="5"/>
      <c r="G117" s="5"/>
    </row>
    <row r="118" customFormat="false" ht="15" hidden="false" customHeight="false" outlineLevel="0" collapsed="false">
      <c r="A118" s="13"/>
      <c r="B118" s="5"/>
      <c r="C118" s="5"/>
      <c r="D118" s="5"/>
      <c r="E118" s="18"/>
      <c r="F118" s="5"/>
      <c r="G118" s="5"/>
    </row>
    <row r="119" customFormat="false" ht="15" hidden="false" customHeight="false" outlineLevel="0" collapsed="false">
      <c r="A119" s="13"/>
      <c r="B119" s="5"/>
      <c r="C119" s="5"/>
      <c r="D119" s="5"/>
      <c r="E119" s="18"/>
      <c r="F119" s="5"/>
      <c r="G119" s="5"/>
    </row>
    <row r="120" customFormat="false" ht="15" hidden="false" customHeight="false" outlineLevel="0" collapsed="false">
      <c r="A120" s="13"/>
      <c r="B120" s="5"/>
      <c r="C120" s="5"/>
      <c r="D120" s="5"/>
      <c r="E120" s="18"/>
      <c r="F120" s="5"/>
      <c r="G120" s="5"/>
    </row>
    <row r="121" customFormat="false" ht="15" hidden="false" customHeight="false" outlineLevel="0" collapsed="false">
      <c r="A121" s="13"/>
      <c r="B121" s="5"/>
      <c r="C121" s="5"/>
      <c r="D121" s="5"/>
      <c r="E121" s="18"/>
      <c r="F121" s="5"/>
      <c r="G121" s="5"/>
    </row>
    <row r="122" customFormat="false" ht="15" hidden="false" customHeight="false" outlineLevel="0" collapsed="false">
      <c r="A122" s="13"/>
      <c r="B122" s="5"/>
      <c r="C122" s="5"/>
      <c r="D122" s="5"/>
      <c r="E122" s="18"/>
      <c r="F122" s="5"/>
      <c r="G122" s="5"/>
    </row>
    <row r="123" customFormat="false" ht="15" hidden="false" customHeight="false" outlineLevel="0" collapsed="false">
      <c r="A123" s="13"/>
      <c r="B123" s="5"/>
      <c r="C123" s="5"/>
      <c r="D123" s="5"/>
      <c r="E123" s="18"/>
      <c r="F123" s="5"/>
      <c r="G123" s="5"/>
    </row>
    <row r="124" customFormat="false" ht="15" hidden="false" customHeight="false" outlineLevel="0" collapsed="false">
      <c r="A124" s="13"/>
      <c r="B124" s="5"/>
      <c r="C124" s="5"/>
      <c r="D124" s="5"/>
      <c r="E124" s="18"/>
      <c r="F124" s="5"/>
      <c r="G124" s="5"/>
    </row>
    <row r="125" customFormat="false" ht="15" hidden="false" customHeight="false" outlineLevel="0" collapsed="false">
      <c r="A125" s="13"/>
      <c r="B125" s="5"/>
      <c r="C125" s="5"/>
      <c r="D125" s="5"/>
      <c r="E125" s="18"/>
      <c r="F125" s="5"/>
      <c r="G125" s="5"/>
    </row>
    <row r="126" customFormat="false" ht="15" hidden="false" customHeight="false" outlineLevel="0" collapsed="false">
      <c r="A126" s="13"/>
      <c r="B126" s="5"/>
      <c r="C126" s="5"/>
      <c r="D126" s="5"/>
      <c r="E126" s="18"/>
      <c r="F126" s="5"/>
      <c r="G126" s="5"/>
    </row>
    <row r="127" customFormat="false" ht="15" hidden="false" customHeight="false" outlineLevel="0" collapsed="false">
      <c r="A127" s="13"/>
      <c r="B127" s="5"/>
      <c r="C127" s="5"/>
      <c r="D127" s="5"/>
      <c r="E127" s="18"/>
      <c r="F127" s="5"/>
      <c r="G127" s="5"/>
    </row>
    <row r="128" customFormat="false" ht="15" hidden="false" customHeight="false" outlineLevel="0" collapsed="false">
      <c r="A128" s="13"/>
      <c r="B128" s="5"/>
      <c r="C128" s="5"/>
      <c r="D128" s="5"/>
      <c r="E128" s="18"/>
      <c r="F128" s="5"/>
      <c r="G128" s="5"/>
    </row>
    <row r="129" customFormat="false" ht="15" hidden="false" customHeight="false" outlineLevel="0" collapsed="false">
      <c r="A129" s="13"/>
      <c r="B129" s="5"/>
      <c r="C129" s="5"/>
      <c r="D129" s="5"/>
      <c r="E129" s="18"/>
      <c r="F129" s="5"/>
      <c r="G129" s="5"/>
    </row>
    <row r="130" customFormat="false" ht="15" hidden="false" customHeight="false" outlineLevel="0" collapsed="false">
      <c r="A130" s="13"/>
      <c r="B130" s="5"/>
      <c r="C130" s="5"/>
      <c r="D130" s="5"/>
      <c r="E130" s="18"/>
      <c r="F130" s="5"/>
      <c r="G130" s="5"/>
    </row>
    <row r="131" customFormat="false" ht="15" hidden="false" customHeight="false" outlineLevel="0" collapsed="false">
      <c r="A131" s="13"/>
      <c r="B131" s="5"/>
      <c r="C131" s="5"/>
      <c r="D131" s="5"/>
      <c r="E131" s="18"/>
      <c r="F131" s="5"/>
      <c r="G131" s="5"/>
    </row>
    <row r="132" customFormat="false" ht="15" hidden="false" customHeight="false" outlineLevel="0" collapsed="false">
      <c r="A132" s="13"/>
      <c r="B132" s="5"/>
      <c r="C132" s="5"/>
      <c r="D132" s="5"/>
      <c r="E132" s="18"/>
      <c r="F132" s="5"/>
      <c r="G132" s="5"/>
    </row>
    <row r="133" customFormat="false" ht="15" hidden="false" customHeight="false" outlineLevel="0" collapsed="false">
      <c r="A133" s="13"/>
      <c r="B133" s="5"/>
      <c r="C133" s="5"/>
      <c r="D133" s="5"/>
      <c r="E133" s="18"/>
      <c r="F133" s="5"/>
      <c r="G133" s="5"/>
    </row>
    <row r="134" customFormat="false" ht="15" hidden="false" customHeight="false" outlineLevel="0" collapsed="false">
      <c r="A134" s="13"/>
      <c r="B134" s="5"/>
      <c r="C134" s="5"/>
      <c r="D134" s="5"/>
      <c r="E134" s="18"/>
      <c r="F134" s="5"/>
      <c r="G134" s="5"/>
    </row>
    <row r="135" customFormat="false" ht="15" hidden="false" customHeight="false" outlineLevel="0" collapsed="false">
      <c r="A135" s="13"/>
      <c r="B135" s="5"/>
      <c r="C135" s="5"/>
      <c r="D135" s="5"/>
      <c r="E135" s="18"/>
      <c r="F135" s="5"/>
      <c r="G135" s="5"/>
    </row>
    <row r="136" customFormat="false" ht="15" hidden="false" customHeight="false" outlineLevel="0" collapsed="false">
      <c r="A136" s="13"/>
      <c r="B136" s="5"/>
      <c r="C136" s="5"/>
      <c r="D136" s="5"/>
      <c r="E136" s="18"/>
      <c r="F136" s="5"/>
      <c r="G136" s="5"/>
    </row>
    <row r="137" customFormat="false" ht="15" hidden="false" customHeight="false" outlineLevel="0" collapsed="false">
      <c r="A137" s="13"/>
      <c r="B137" s="5"/>
      <c r="C137" s="5"/>
      <c r="D137" s="5"/>
      <c r="E137" s="18"/>
      <c r="F137" s="5"/>
      <c r="G137" s="5"/>
    </row>
    <row r="138" customFormat="false" ht="15" hidden="false" customHeight="false" outlineLevel="0" collapsed="false">
      <c r="A138" s="13"/>
      <c r="B138" s="5"/>
      <c r="C138" s="5"/>
      <c r="D138" s="5"/>
      <c r="E138" s="18"/>
      <c r="F138" s="5"/>
      <c r="G138" s="5"/>
    </row>
    <row r="139" customFormat="false" ht="15" hidden="false" customHeight="false" outlineLevel="0" collapsed="false">
      <c r="A139" s="13"/>
      <c r="B139" s="5"/>
      <c r="C139" s="5"/>
      <c r="D139" s="5"/>
      <c r="E139" s="18"/>
      <c r="F139" s="5"/>
      <c r="G139" s="5"/>
    </row>
    <row r="140" customFormat="false" ht="15" hidden="false" customHeight="false" outlineLevel="0" collapsed="false">
      <c r="A140" s="13"/>
      <c r="B140" s="5"/>
      <c r="C140" s="5"/>
      <c r="D140" s="5"/>
      <c r="E140" s="18"/>
      <c r="F140" s="5"/>
      <c r="G140" s="5"/>
    </row>
    <row r="141" customFormat="false" ht="15" hidden="false" customHeight="false" outlineLevel="0" collapsed="false">
      <c r="A141" s="13"/>
      <c r="B141" s="5"/>
      <c r="C141" s="5"/>
      <c r="D141" s="5"/>
      <c r="E141" s="18"/>
      <c r="F141" s="5"/>
      <c r="G141" s="5"/>
    </row>
    <row r="142" customFormat="false" ht="15" hidden="false" customHeight="false" outlineLevel="0" collapsed="false">
      <c r="A142" s="13"/>
      <c r="B142" s="5"/>
      <c r="C142" s="5"/>
      <c r="D142" s="5"/>
      <c r="E142" s="18"/>
      <c r="F142" s="5"/>
      <c r="G142" s="5"/>
    </row>
    <row r="143" customFormat="false" ht="15" hidden="false" customHeight="false" outlineLevel="0" collapsed="false">
      <c r="A143" s="13"/>
      <c r="B143" s="5"/>
      <c r="C143" s="5"/>
      <c r="D143" s="5"/>
      <c r="E143" s="18"/>
      <c r="F143" s="5"/>
      <c r="G143" s="5"/>
    </row>
    <row r="144" customFormat="false" ht="15" hidden="false" customHeight="false" outlineLevel="0" collapsed="false">
      <c r="A144" s="13"/>
      <c r="B144" s="5"/>
      <c r="C144" s="5"/>
      <c r="D144" s="5"/>
      <c r="E144" s="18"/>
      <c r="F144" s="5"/>
      <c r="G144" s="5"/>
    </row>
    <row r="145" customFormat="false" ht="15" hidden="false" customHeight="false" outlineLevel="0" collapsed="false">
      <c r="A145" s="13"/>
      <c r="B145" s="5"/>
      <c r="C145" s="5"/>
      <c r="D145" s="5"/>
      <c r="E145" s="18"/>
      <c r="F145" s="5"/>
      <c r="G145" s="5"/>
    </row>
    <row r="146" customFormat="false" ht="15" hidden="false" customHeight="false" outlineLevel="0" collapsed="false">
      <c r="A146" s="13"/>
      <c r="B146" s="5"/>
      <c r="C146" s="5"/>
      <c r="D146" s="5"/>
      <c r="E146" s="18"/>
      <c r="F146" s="5"/>
      <c r="G146" s="5"/>
    </row>
    <row r="147" customFormat="false" ht="15" hidden="false" customHeight="false" outlineLevel="0" collapsed="false">
      <c r="A147" s="13"/>
      <c r="B147" s="5"/>
      <c r="C147" s="5"/>
      <c r="D147" s="5"/>
      <c r="E147" s="18"/>
      <c r="F147" s="5"/>
      <c r="G147" s="5"/>
    </row>
    <row r="148" customFormat="false" ht="15" hidden="false" customHeight="false" outlineLevel="0" collapsed="false">
      <c r="A148" s="13"/>
      <c r="B148" s="5"/>
      <c r="C148" s="5"/>
      <c r="D148" s="5"/>
      <c r="E148" s="18"/>
      <c r="F148" s="5"/>
      <c r="G148" s="5"/>
    </row>
    <row r="149" customFormat="false" ht="15" hidden="false" customHeight="false" outlineLevel="0" collapsed="false">
      <c r="A149" s="13"/>
      <c r="B149" s="5"/>
      <c r="C149" s="5"/>
      <c r="D149" s="5"/>
      <c r="E149" s="18"/>
      <c r="F149" s="5"/>
      <c r="G149" s="5"/>
    </row>
    <row r="150" customFormat="false" ht="15" hidden="false" customHeight="false" outlineLevel="0" collapsed="false">
      <c r="A150" s="13"/>
      <c r="B150" s="5"/>
      <c r="C150" s="5"/>
      <c r="D150" s="5"/>
      <c r="E150" s="18"/>
      <c r="F150" s="5"/>
      <c r="G150" s="5"/>
    </row>
    <row r="151" customFormat="false" ht="15" hidden="false" customHeight="false" outlineLevel="0" collapsed="false">
      <c r="A151" s="13"/>
      <c r="B151" s="5"/>
      <c r="C151" s="5"/>
      <c r="D151" s="5"/>
      <c r="E151" s="18"/>
      <c r="F151" s="5"/>
      <c r="G151" s="5"/>
    </row>
    <row r="152" customFormat="false" ht="15" hidden="false" customHeight="false" outlineLevel="0" collapsed="false">
      <c r="A152" s="13"/>
      <c r="B152" s="5"/>
      <c r="C152" s="5"/>
      <c r="D152" s="5"/>
      <c r="E152" s="18"/>
      <c r="F152" s="5"/>
      <c r="G152" s="5"/>
    </row>
    <row r="153" customFormat="false" ht="15" hidden="false" customHeight="false" outlineLevel="0" collapsed="false">
      <c r="A153" s="13"/>
      <c r="B153" s="5"/>
      <c r="C153" s="5"/>
      <c r="D153" s="5"/>
      <c r="E153" s="18"/>
      <c r="F153" s="5"/>
      <c r="G153" s="5"/>
    </row>
    <row r="154" customFormat="false" ht="15" hidden="false" customHeight="false" outlineLevel="0" collapsed="false">
      <c r="A154" s="13"/>
      <c r="B154" s="5"/>
      <c r="C154" s="5"/>
      <c r="D154" s="5"/>
      <c r="E154" s="18"/>
      <c r="F154" s="5"/>
      <c r="G154" s="5"/>
    </row>
    <row r="155" customFormat="false" ht="15" hidden="false" customHeight="false" outlineLevel="0" collapsed="false">
      <c r="A155" s="13"/>
      <c r="B155" s="5"/>
      <c r="C155" s="5"/>
      <c r="D155" s="5"/>
      <c r="E155" s="18"/>
      <c r="F155" s="5"/>
      <c r="G155" s="5"/>
    </row>
    <row r="156" customFormat="false" ht="15" hidden="false" customHeight="false" outlineLevel="0" collapsed="false">
      <c r="A156" s="13"/>
      <c r="B156" s="5"/>
      <c r="C156" s="5"/>
      <c r="D156" s="5"/>
      <c r="E156" s="18"/>
      <c r="F156" s="5"/>
      <c r="G156" s="5"/>
    </row>
    <row r="157" customFormat="false" ht="15" hidden="false" customHeight="false" outlineLevel="0" collapsed="false">
      <c r="A157" s="13"/>
      <c r="B157" s="5"/>
      <c r="C157" s="5"/>
      <c r="D157" s="5"/>
      <c r="E157" s="18"/>
      <c r="F157" s="5"/>
      <c r="G157" s="5"/>
    </row>
    <row r="158" customFormat="false" ht="15" hidden="false" customHeight="false" outlineLevel="0" collapsed="false">
      <c r="A158" s="13"/>
      <c r="B158" s="5"/>
      <c r="C158" s="5"/>
      <c r="D158" s="5"/>
      <c r="E158" s="18"/>
      <c r="F158" s="5"/>
      <c r="G158" s="5"/>
    </row>
    <row r="159" customFormat="false" ht="15" hidden="false" customHeight="false" outlineLevel="0" collapsed="false">
      <c r="A159" s="13"/>
      <c r="B159" s="5"/>
      <c r="C159" s="5"/>
      <c r="D159" s="5"/>
      <c r="E159" s="18"/>
      <c r="F159" s="5"/>
      <c r="G159" s="5"/>
    </row>
    <row r="160" customFormat="false" ht="15" hidden="false" customHeight="false" outlineLevel="0" collapsed="false">
      <c r="A160" s="13"/>
      <c r="B160" s="5"/>
      <c r="C160" s="5"/>
      <c r="D160" s="5"/>
      <c r="E160" s="18"/>
      <c r="F160" s="5"/>
      <c r="G160" s="5"/>
    </row>
    <row r="161" customFormat="false" ht="15" hidden="false" customHeight="false" outlineLevel="0" collapsed="false">
      <c r="A161" s="13"/>
      <c r="B161" s="5"/>
      <c r="C161" s="5"/>
      <c r="D161" s="5"/>
      <c r="E161" s="18"/>
      <c r="F161" s="5"/>
      <c r="G161" s="5"/>
    </row>
    <row r="162" customFormat="false" ht="15" hidden="false" customHeight="false" outlineLevel="0" collapsed="false">
      <c r="A162" s="13"/>
      <c r="B162" s="5"/>
      <c r="C162" s="5"/>
      <c r="D162" s="5"/>
      <c r="E162" s="18"/>
      <c r="F162" s="5"/>
      <c r="G162" s="5"/>
    </row>
    <row r="163" customFormat="false" ht="15" hidden="false" customHeight="false" outlineLevel="0" collapsed="false">
      <c r="A163" s="13"/>
      <c r="B163" s="5"/>
      <c r="C163" s="5"/>
      <c r="D163" s="5"/>
      <c r="E163" s="18"/>
      <c r="F163" s="5"/>
      <c r="G163" s="5"/>
    </row>
    <row r="164" customFormat="false" ht="15" hidden="false" customHeight="false" outlineLevel="0" collapsed="false">
      <c r="A164" s="13"/>
      <c r="B164" s="5"/>
      <c r="C164" s="5"/>
      <c r="D164" s="5"/>
      <c r="E164" s="18"/>
      <c r="F164" s="5"/>
      <c r="G164" s="5"/>
    </row>
    <row r="165" customFormat="false" ht="15" hidden="false" customHeight="false" outlineLevel="0" collapsed="false">
      <c r="A165" s="13"/>
      <c r="B165" s="5"/>
      <c r="C165" s="5"/>
      <c r="D165" s="5"/>
      <c r="E165" s="18"/>
      <c r="F165" s="5"/>
      <c r="G165" s="5"/>
    </row>
    <row r="166" customFormat="false" ht="15" hidden="false" customHeight="false" outlineLevel="0" collapsed="false">
      <c r="A166" s="13"/>
      <c r="B166" s="5"/>
      <c r="C166" s="5"/>
      <c r="D166" s="5"/>
      <c r="E166" s="18"/>
      <c r="F166" s="5"/>
      <c r="G166" s="5"/>
    </row>
    <row r="167" customFormat="false" ht="15" hidden="false" customHeight="false" outlineLevel="0" collapsed="false">
      <c r="A167" s="13"/>
      <c r="B167" s="5"/>
      <c r="C167" s="5"/>
      <c r="D167" s="5"/>
      <c r="E167" s="18"/>
      <c r="F167" s="5"/>
      <c r="G167" s="5"/>
    </row>
    <row r="168" customFormat="false" ht="15" hidden="false" customHeight="false" outlineLevel="0" collapsed="false">
      <c r="A168" s="13"/>
      <c r="B168" s="5"/>
      <c r="C168" s="5"/>
      <c r="D168" s="5"/>
      <c r="E168" s="18"/>
      <c r="F168" s="5"/>
      <c r="G168" s="5"/>
    </row>
    <row r="169" customFormat="false" ht="15" hidden="false" customHeight="false" outlineLevel="0" collapsed="false">
      <c r="A169" s="13"/>
      <c r="B169" s="5"/>
      <c r="C169" s="5"/>
      <c r="D169" s="5"/>
      <c r="E169" s="18"/>
      <c r="F169" s="5"/>
      <c r="G169" s="5"/>
    </row>
    <row r="170" customFormat="false" ht="15" hidden="false" customHeight="false" outlineLevel="0" collapsed="false">
      <c r="A170" s="13"/>
      <c r="B170" s="5"/>
      <c r="C170" s="5"/>
      <c r="D170" s="5"/>
      <c r="E170" s="18"/>
      <c r="F170" s="5"/>
      <c r="G170" s="5"/>
    </row>
    <row r="171" customFormat="false" ht="15" hidden="false" customHeight="false" outlineLevel="0" collapsed="false">
      <c r="A171" s="13"/>
      <c r="B171" s="5"/>
      <c r="C171" s="5"/>
      <c r="D171" s="5"/>
      <c r="E171" s="18"/>
      <c r="F171" s="5"/>
      <c r="G171" s="5"/>
    </row>
    <row r="172" customFormat="false" ht="15" hidden="false" customHeight="false" outlineLevel="0" collapsed="false">
      <c r="A172" s="13"/>
      <c r="B172" s="5"/>
      <c r="C172" s="5"/>
      <c r="D172" s="5"/>
      <c r="E172" s="18"/>
      <c r="F172" s="5"/>
      <c r="G172" s="5"/>
    </row>
    <row r="173" customFormat="false" ht="15" hidden="false" customHeight="false" outlineLevel="0" collapsed="false">
      <c r="A173" s="13"/>
      <c r="B173" s="5"/>
      <c r="C173" s="5"/>
      <c r="D173" s="5"/>
      <c r="E173" s="18"/>
      <c r="F173" s="5"/>
      <c r="G173" s="5"/>
    </row>
    <row r="174" customFormat="false" ht="15" hidden="false" customHeight="false" outlineLevel="0" collapsed="false">
      <c r="A174" s="13"/>
      <c r="B174" s="5"/>
      <c r="C174" s="5"/>
      <c r="D174" s="5"/>
      <c r="E174" s="18"/>
      <c r="F174" s="5"/>
      <c r="G174" s="5"/>
    </row>
    <row r="175" customFormat="false" ht="15" hidden="false" customHeight="false" outlineLevel="0" collapsed="false">
      <c r="A175" s="13"/>
      <c r="B175" s="5"/>
      <c r="C175" s="5"/>
      <c r="D175" s="5"/>
      <c r="E175" s="18"/>
      <c r="F175" s="5"/>
      <c r="G175" s="5"/>
    </row>
    <row r="176" customFormat="false" ht="15" hidden="false" customHeight="false" outlineLevel="0" collapsed="false">
      <c r="A176" s="13"/>
      <c r="B176" s="5"/>
      <c r="C176" s="5"/>
      <c r="D176" s="5"/>
      <c r="E176" s="18"/>
      <c r="F176" s="5"/>
      <c r="G176" s="5"/>
    </row>
    <row r="177" customFormat="false" ht="15" hidden="false" customHeight="false" outlineLevel="0" collapsed="false">
      <c r="A177" s="13"/>
      <c r="B177" s="5"/>
      <c r="C177" s="5"/>
      <c r="D177" s="5"/>
      <c r="E177" s="18"/>
      <c r="F177" s="5"/>
      <c r="G177" s="5"/>
    </row>
    <row r="178" customFormat="false" ht="15" hidden="false" customHeight="false" outlineLevel="0" collapsed="false">
      <c r="A178" s="13"/>
      <c r="B178" s="5"/>
      <c r="C178" s="5"/>
      <c r="D178" s="5"/>
      <c r="E178" s="18"/>
      <c r="F178" s="5"/>
      <c r="G178" s="5"/>
    </row>
    <row r="179" customFormat="false" ht="15" hidden="false" customHeight="false" outlineLevel="0" collapsed="false">
      <c r="A179" s="13"/>
      <c r="B179" s="5"/>
      <c r="C179" s="5"/>
      <c r="D179" s="5"/>
      <c r="E179" s="18"/>
      <c r="F179" s="5"/>
      <c r="G179" s="5"/>
    </row>
    <row r="180" customFormat="false" ht="15" hidden="false" customHeight="false" outlineLevel="0" collapsed="false">
      <c r="A180" s="13"/>
      <c r="B180" s="5"/>
      <c r="C180" s="5"/>
      <c r="D180" s="5"/>
      <c r="E180" s="18"/>
      <c r="F180" s="5"/>
      <c r="G180" s="5"/>
    </row>
    <row r="181" customFormat="false" ht="15" hidden="false" customHeight="false" outlineLevel="0" collapsed="false">
      <c r="A181" s="13"/>
      <c r="B181" s="5"/>
      <c r="C181" s="5"/>
      <c r="D181" s="5"/>
      <c r="E181" s="18"/>
      <c r="F181" s="5"/>
      <c r="G181" s="5"/>
    </row>
    <row r="182" customFormat="false" ht="15" hidden="false" customHeight="false" outlineLevel="0" collapsed="false">
      <c r="A182" s="13"/>
      <c r="B182" s="5"/>
      <c r="C182" s="5"/>
      <c r="D182" s="5"/>
      <c r="E182" s="18"/>
      <c r="F182" s="5"/>
      <c r="G182" s="5"/>
    </row>
    <row r="183" customFormat="false" ht="15" hidden="false" customHeight="false" outlineLevel="0" collapsed="false">
      <c r="A183" s="13"/>
      <c r="B183" s="5"/>
      <c r="C183" s="5"/>
      <c r="D183" s="5"/>
      <c r="E183" s="18"/>
      <c r="F183" s="5"/>
      <c r="G183" s="5"/>
    </row>
    <row r="184" customFormat="false" ht="15" hidden="false" customHeight="false" outlineLevel="0" collapsed="false">
      <c r="A184" s="13"/>
      <c r="B184" s="5"/>
      <c r="C184" s="5"/>
      <c r="D184" s="5"/>
      <c r="E184" s="18"/>
      <c r="F184" s="5"/>
      <c r="G184" s="5"/>
    </row>
    <row r="185" customFormat="false" ht="15" hidden="false" customHeight="false" outlineLevel="0" collapsed="false">
      <c r="A185" s="13"/>
      <c r="B185" s="5"/>
      <c r="C185" s="5"/>
      <c r="D185" s="5"/>
      <c r="E185" s="18"/>
      <c r="F185" s="5"/>
      <c r="G185" s="5"/>
    </row>
    <row r="186" customFormat="false" ht="15" hidden="false" customHeight="false" outlineLevel="0" collapsed="false">
      <c r="A186" s="13"/>
      <c r="B186" s="5"/>
      <c r="C186" s="5"/>
      <c r="D186" s="5"/>
      <c r="E186" s="18"/>
      <c r="F186" s="5"/>
      <c r="G186" s="5"/>
    </row>
    <row r="187" customFormat="false" ht="15" hidden="false" customHeight="false" outlineLevel="0" collapsed="false">
      <c r="A187" s="13"/>
      <c r="B187" s="5"/>
      <c r="C187" s="5"/>
      <c r="D187" s="5"/>
      <c r="E187" s="18"/>
      <c r="F187" s="5"/>
      <c r="G187" s="5"/>
    </row>
    <row r="188" customFormat="false" ht="15" hidden="false" customHeight="false" outlineLevel="0" collapsed="false">
      <c r="A188" s="13"/>
      <c r="B188" s="5"/>
      <c r="C188" s="5"/>
      <c r="D188" s="5"/>
      <c r="E188" s="18"/>
      <c r="F188" s="5"/>
      <c r="G188" s="5"/>
    </row>
    <row r="189" customFormat="false" ht="15" hidden="false" customHeight="false" outlineLevel="0" collapsed="false">
      <c r="A189" s="13"/>
      <c r="B189" s="5"/>
      <c r="C189" s="5"/>
      <c r="D189" s="5"/>
      <c r="E189" s="18"/>
      <c r="F189" s="5"/>
      <c r="G189" s="5"/>
    </row>
    <row r="190" customFormat="false" ht="15" hidden="false" customHeight="false" outlineLevel="0" collapsed="false">
      <c r="A190" s="13"/>
      <c r="B190" s="5"/>
      <c r="C190" s="5"/>
      <c r="D190" s="5"/>
      <c r="E190" s="18"/>
      <c r="F190" s="5"/>
      <c r="G190" s="5"/>
    </row>
    <row r="191" customFormat="false" ht="15" hidden="false" customHeight="false" outlineLevel="0" collapsed="false">
      <c r="A191" s="13"/>
      <c r="B191" s="5"/>
      <c r="C191" s="5"/>
      <c r="D191" s="5"/>
      <c r="E191" s="18"/>
      <c r="F191" s="5"/>
      <c r="G191" s="5"/>
    </row>
    <row r="192" customFormat="false" ht="15" hidden="false" customHeight="false" outlineLevel="0" collapsed="false">
      <c r="A192" s="13"/>
      <c r="B192" s="5"/>
      <c r="C192" s="5"/>
      <c r="D192" s="5"/>
      <c r="E192" s="18"/>
      <c r="F192" s="5"/>
      <c r="G192" s="5"/>
    </row>
    <row r="193" customFormat="false" ht="15" hidden="false" customHeight="false" outlineLevel="0" collapsed="false">
      <c r="A193" s="13"/>
      <c r="B193" s="5"/>
      <c r="C193" s="5"/>
      <c r="D193" s="5"/>
      <c r="E193" s="18"/>
      <c r="F193" s="5"/>
      <c r="G193" s="5"/>
    </row>
    <row r="194" customFormat="false" ht="15" hidden="false" customHeight="false" outlineLevel="0" collapsed="false">
      <c r="A194" s="13"/>
      <c r="B194" s="5"/>
      <c r="C194" s="5"/>
      <c r="D194" s="5"/>
      <c r="E194" s="18"/>
      <c r="F194" s="5"/>
      <c r="G194" s="5"/>
    </row>
    <row r="195" customFormat="false" ht="15" hidden="false" customHeight="false" outlineLevel="0" collapsed="false">
      <c r="A195" s="13"/>
      <c r="B195" s="5"/>
      <c r="C195" s="5"/>
      <c r="D195" s="5"/>
      <c r="E195" s="18"/>
      <c r="F195" s="5"/>
      <c r="G195" s="5"/>
    </row>
    <row r="196" customFormat="false" ht="15" hidden="false" customHeight="false" outlineLevel="0" collapsed="false">
      <c r="A196" s="13"/>
      <c r="B196" s="5"/>
      <c r="C196" s="5"/>
      <c r="D196" s="5"/>
      <c r="E196" s="18"/>
      <c r="F196" s="5"/>
      <c r="G196" s="5"/>
    </row>
    <row r="197" customFormat="false" ht="15" hidden="false" customHeight="false" outlineLevel="0" collapsed="false">
      <c r="A197" s="13"/>
      <c r="B197" s="5"/>
      <c r="C197" s="5"/>
      <c r="D197" s="5"/>
      <c r="E197" s="18"/>
      <c r="F197" s="5"/>
      <c r="G197" s="5"/>
    </row>
    <row r="198" customFormat="false" ht="15" hidden="false" customHeight="false" outlineLevel="0" collapsed="false">
      <c r="A198" s="13"/>
      <c r="B198" s="5"/>
      <c r="C198" s="5"/>
      <c r="D198" s="5"/>
      <c r="E198" s="18"/>
      <c r="F198" s="5"/>
      <c r="G198" s="5"/>
    </row>
    <row r="199" customFormat="false" ht="15" hidden="false" customHeight="false" outlineLevel="0" collapsed="false">
      <c r="A199" s="13"/>
      <c r="B199" s="5"/>
      <c r="C199" s="5"/>
      <c r="D199" s="5"/>
      <c r="E199" s="18"/>
      <c r="F199" s="5"/>
      <c r="G199" s="5"/>
    </row>
    <row r="200" customFormat="false" ht="15" hidden="false" customHeight="false" outlineLevel="0" collapsed="false">
      <c r="A200" s="13"/>
      <c r="B200" s="5"/>
      <c r="C200" s="5"/>
      <c r="D200" s="5"/>
      <c r="E200" s="18"/>
      <c r="F200" s="5"/>
      <c r="G200" s="5"/>
    </row>
    <row r="201" customFormat="false" ht="15" hidden="false" customHeight="false" outlineLevel="0" collapsed="false">
      <c r="A201" s="13"/>
      <c r="B201" s="5"/>
      <c r="C201" s="5"/>
      <c r="D201" s="5"/>
      <c r="E201" s="18"/>
      <c r="F201" s="5"/>
      <c r="G201" s="5"/>
    </row>
    <row r="202" customFormat="false" ht="15" hidden="false" customHeight="false" outlineLevel="0" collapsed="false">
      <c r="A202" s="13"/>
      <c r="B202" s="5"/>
      <c r="C202" s="5"/>
      <c r="D202" s="5"/>
      <c r="E202" s="18"/>
      <c r="F202" s="5"/>
      <c r="G202" s="5"/>
    </row>
    <row r="203" customFormat="false" ht="15" hidden="false" customHeight="false" outlineLevel="0" collapsed="false">
      <c r="A203" s="13"/>
      <c r="B203" s="5"/>
      <c r="C203" s="5"/>
      <c r="D203" s="5"/>
      <c r="E203" s="18"/>
      <c r="F203" s="5"/>
      <c r="G203" s="5"/>
    </row>
    <row r="204" customFormat="false" ht="15" hidden="false" customHeight="false" outlineLevel="0" collapsed="false">
      <c r="A204" s="13"/>
      <c r="B204" s="5"/>
      <c r="C204" s="5"/>
      <c r="D204" s="5"/>
      <c r="E204" s="18"/>
      <c r="F204" s="5"/>
      <c r="G204" s="5"/>
    </row>
    <row r="205" customFormat="false" ht="15" hidden="false" customHeight="false" outlineLevel="0" collapsed="false">
      <c r="A205" s="13"/>
      <c r="B205" s="5"/>
      <c r="C205" s="5"/>
      <c r="D205" s="5"/>
      <c r="E205" s="18"/>
      <c r="F205" s="5"/>
      <c r="G205" s="5"/>
    </row>
    <row r="206" customFormat="false" ht="15" hidden="false" customHeight="false" outlineLevel="0" collapsed="false">
      <c r="A206" s="13"/>
      <c r="B206" s="5"/>
      <c r="C206" s="5"/>
      <c r="D206" s="5"/>
      <c r="E206" s="18"/>
      <c r="F206" s="5"/>
      <c r="G206" s="5"/>
    </row>
    <row r="207" customFormat="false" ht="15" hidden="false" customHeight="false" outlineLevel="0" collapsed="false">
      <c r="A207" s="13"/>
      <c r="B207" s="5"/>
      <c r="C207" s="5"/>
      <c r="D207" s="5"/>
      <c r="E207" s="18"/>
      <c r="F207" s="5"/>
      <c r="G207" s="5"/>
    </row>
    <row r="208" customFormat="false" ht="15" hidden="false" customHeight="false" outlineLevel="0" collapsed="false">
      <c r="A208" s="13"/>
      <c r="B208" s="5"/>
      <c r="C208" s="5"/>
      <c r="D208" s="5"/>
      <c r="E208" s="18"/>
      <c r="F208" s="5"/>
      <c r="G208" s="5"/>
    </row>
    <row r="209" customFormat="false" ht="15" hidden="false" customHeight="false" outlineLevel="0" collapsed="false">
      <c r="A209" s="13"/>
      <c r="B209" s="5"/>
      <c r="C209" s="5"/>
      <c r="D209" s="5"/>
      <c r="E209" s="18"/>
      <c r="F209" s="5"/>
      <c r="G209" s="5"/>
    </row>
    <row r="210" customFormat="false" ht="15" hidden="false" customHeight="false" outlineLevel="0" collapsed="false">
      <c r="A210" s="13"/>
      <c r="B210" s="5"/>
      <c r="C210" s="5"/>
      <c r="D210" s="5"/>
      <c r="E210" s="18"/>
      <c r="F210" s="5"/>
      <c r="G210" s="5"/>
    </row>
    <row r="211" customFormat="false" ht="15" hidden="false" customHeight="false" outlineLevel="0" collapsed="false">
      <c r="A211" s="13"/>
      <c r="B211" s="5"/>
      <c r="C211" s="5"/>
      <c r="D211" s="5"/>
      <c r="E211" s="18"/>
      <c r="F211" s="5"/>
      <c r="G211" s="5"/>
    </row>
    <row r="212" customFormat="false" ht="15" hidden="false" customHeight="false" outlineLevel="0" collapsed="false">
      <c r="A212" s="13"/>
      <c r="B212" s="5"/>
      <c r="C212" s="5"/>
      <c r="D212" s="5"/>
      <c r="E212" s="18"/>
      <c r="F212" s="5"/>
      <c r="G212" s="5"/>
    </row>
    <row r="213" customFormat="false" ht="15" hidden="false" customHeight="false" outlineLevel="0" collapsed="false">
      <c r="A213" s="13"/>
      <c r="B213" s="5"/>
      <c r="C213" s="5"/>
      <c r="D213" s="5"/>
      <c r="E213" s="18"/>
      <c r="F213" s="5"/>
      <c r="G213" s="5"/>
    </row>
    <row r="214" customFormat="false" ht="15" hidden="false" customHeight="false" outlineLevel="0" collapsed="false">
      <c r="A214" s="13"/>
      <c r="B214" s="5"/>
      <c r="C214" s="5"/>
      <c r="D214" s="5"/>
      <c r="E214" s="18"/>
      <c r="F214" s="5"/>
      <c r="G214" s="5"/>
    </row>
    <row r="215" customFormat="false" ht="15" hidden="false" customHeight="false" outlineLevel="0" collapsed="false">
      <c r="A215" s="13"/>
      <c r="B215" s="5"/>
      <c r="C215" s="5"/>
      <c r="D215" s="5"/>
      <c r="E215" s="18"/>
      <c r="F215" s="5"/>
      <c r="G215" s="5"/>
    </row>
    <row r="216" customFormat="false" ht="15" hidden="false" customHeight="false" outlineLevel="0" collapsed="false">
      <c r="A216" s="13"/>
      <c r="B216" s="5"/>
      <c r="C216" s="5"/>
      <c r="D216" s="5"/>
      <c r="E216" s="18"/>
      <c r="F216" s="5"/>
      <c r="G216" s="5"/>
    </row>
    <row r="217" customFormat="false" ht="15" hidden="false" customHeight="false" outlineLevel="0" collapsed="false">
      <c r="A217" s="13"/>
      <c r="B217" s="5"/>
      <c r="C217" s="5"/>
      <c r="D217" s="5"/>
      <c r="E217" s="18"/>
      <c r="F217" s="5"/>
      <c r="G217" s="5"/>
    </row>
    <row r="218" customFormat="false" ht="15" hidden="false" customHeight="false" outlineLevel="0" collapsed="false">
      <c r="A218" s="13"/>
      <c r="B218" s="5"/>
      <c r="C218" s="5"/>
      <c r="D218" s="5"/>
      <c r="E218" s="18"/>
      <c r="F218" s="5"/>
      <c r="G218" s="5"/>
    </row>
    <row r="219" customFormat="false" ht="15" hidden="false" customHeight="false" outlineLevel="0" collapsed="false">
      <c r="A219" s="13"/>
      <c r="B219" s="5"/>
      <c r="C219" s="5"/>
      <c r="D219" s="5"/>
      <c r="E219" s="18"/>
      <c r="F219" s="5"/>
      <c r="G219" s="5"/>
    </row>
    <row r="220" customFormat="false" ht="15" hidden="false" customHeight="false" outlineLevel="0" collapsed="false">
      <c r="A220" s="13"/>
      <c r="B220" s="5"/>
      <c r="C220" s="5"/>
      <c r="D220" s="5"/>
      <c r="E220" s="18"/>
      <c r="F220" s="5"/>
      <c r="G220" s="5"/>
    </row>
    <row r="221" customFormat="false" ht="15" hidden="false" customHeight="false" outlineLevel="0" collapsed="false">
      <c r="A221" s="13"/>
      <c r="B221" s="5"/>
      <c r="C221" s="5"/>
      <c r="D221" s="5"/>
      <c r="E221" s="18"/>
      <c r="F221" s="5"/>
      <c r="G221" s="5"/>
    </row>
    <row r="222" customFormat="false" ht="15" hidden="false" customHeight="false" outlineLevel="0" collapsed="false">
      <c r="A222" s="13"/>
      <c r="B222" s="5"/>
      <c r="C222" s="5"/>
      <c r="D222" s="5"/>
      <c r="E222" s="18"/>
      <c r="F222" s="5"/>
      <c r="G222" s="5"/>
    </row>
    <row r="223" customFormat="false" ht="15" hidden="false" customHeight="false" outlineLevel="0" collapsed="false">
      <c r="A223" s="13"/>
      <c r="B223" s="5"/>
      <c r="C223" s="5"/>
      <c r="D223" s="5"/>
      <c r="E223" s="18"/>
      <c r="F223" s="5"/>
      <c r="G223" s="5"/>
    </row>
    <row r="224" customFormat="false" ht="15" hidden="false" customHeight="false" outlineLevel="0" collapsed="false">
      <c r="A224" s="13"/>
      <c r="B224" s="5"/>
      <c r="C224" s="5"/>
      <c r="D224" s="5"/>
      <c r="E224" s="18"/>
      <c r="F224" s="5"/>
      <c r="G224" s="5"/>
    </row>
    <row r="225" customFormat="false" ht="15" hidden="false" customHeight="false" outlineLevel="0" collapsed="false">
      <c r="A225" s="13"/>
      <c r="B225" s="5"/>
      <c r="C225" s="5"/>
      <c r="D225" s="5"/>
      <c r="E225" s="18"/>
      <c r="F225" s="5"/>
      <c r="G225" s="5"/>
    </row>
    <row r="226" customFormat="false" ht="15" hidden="false" customHeight="false" outlineLevel="0" collapsed="false">
      <c r="A226" s="13"/>
      <c r="B226" s="5"/>
      <c r="C226" s="5"/>
      <c r="D226" s="5"/>
      <c r="E226" s="18"/>
      <c r="F226" s="5"/>
      <c r="G226" s="5"/>
    </row>
    <row r="227" customFormat="false" ht="15" hidden="false" customHeight="false" outlineLevel="0" collapsed="false">
      <c r="A227" s="13"/>
      <c r="B227" s="5"/>
      <c r="C227" s="5"/>
      <c r="D227" s="5"/>
      <c r="E227" s="18"/>
      <c r="F227" s="5"/>
      <c r="G227" s="5"/>
    </row>
    <row r="228" customFormat="false" ht="15" hidden="false" customHeight="false" outlineLevel="0" collapsed="false">
      <c r="A228" s="13"/>
      <c r="B228" s="5"/>
      <c r="C228" s="5"/>
      <c r="D228" s="5"/>
      <c r="E228" s="18"/>
      <c r="F228" s="5"/>
      <c r="G228" s="5"/>
    </row>
    <row r="229" customFormat="false" ht="15" hidden="false" customHeight="false" outlineLevel="0" collapsed="false">
      <c r="A229" s="13"/>
      <c r="B229" s="5"/>
      <c r="C229" s="5"/>
      <c r="D229" s="5"/>
      <c r="E229" s="18"/>
      <c r="F229" s="5"/>
      <c r="G229" s="5"/>
    </row>
    <row r="230" customFormat="false" ht="15" hidden="false" customHeight="false" outlineLevel="0" collapsed="false">
      <c r="A230" s="13"/>
      <c r="B230" s="5"/>
      <c r="C230" s="5"/>
      <c r="D230" s="5"/>
      <c r="E230" s="18"/>
      <c r="F230" s="5"/>
      <c r="G230" s="5"/>
    </row>
    <row r="231" customFormat="false" ht="15" hidden="false" customHeight="false" outlineLevel="0" collapsed="false">
      <c r="A231" s="13"/>
      <c r="B231" s="5"/>
      <c r="C231" s="5"/>
      <c r="D231" s="5"/>
      <c r="E231" s="18"/>
      <c r="F231" s="5"/>
      <c r="G231" s="5"/>
    </row>
    <row r="232" customFormat="false" ht="15" hidden="false" customHeight="false" outlineLevel="0" collapsed="false">
      <c r="A232" s="13"/>
      <c r="B232" s="5"/>
      <c r="C232" s="5"/>
      <c r="D232" s="5"/>
      <c r="E232" s="18"/>
      <c r="F232" s="5"/>
      <c r="G232" s="5"/>
    </row>
    <row r="233" customFormat="false" ht="15" hidden="false" customHeight="false" outlineLevel="0" collapsed="false">
      <c r="A233" s="13"/>
      <c r="B233" s="5"/>
      <c r="C233" s="5"/>
      <c r="D233" s="5"/>
      <c r="E233" s="18"/>
      <c r="F233" s="5"/>
      <c r="G233" s="5"/>
    </row>
    <row r="234" customFormat="false" ht="15" hidden="false" customHeight="false" outlineLevel="0" collapsed="false">
      <c r="A234" s="13"/>
      <c r="B234" s="5"/>
      <c r="C234" s="5"/>
      <c r="D234" s="5"/>
      <c r="E234" s="18"/>
      <c r="F234" s="5"/>
      <c r="G234" s="5"/>
    </row>
    <row r="235" customFormat="false" ht="15" hidden="false" customHeight="false" outlineLevel="0" collapsed="false">
      <c r="A235" s="13"/>
      <c r="B235" s="5"/>
      <c r="C235" s="5"/>
      <c r="D235" s="5"/>
      <c r="E235" s="18"/>
      <c r="F235" s="5"/>
      <c r="G235" s="5"/>
    </row>
    <row r="236" customFormat="false" ht="15" hidden="false" customHeight="false" outlineLevel="0" collapsed="false">
      <c r="A236" s="13"/>
      <c r="B236" s="5"/>
      <c r="C236" s="5"/>
      <c r="D236" s="5"/>
      <c r="E236" s="18"/>
      <c r="F236" s="5"/>
      <c r="G236" s="5"/>
    </row>
    <row r="237" customFormat="false" ht="15" hidden="false" customHeight="false" outlineLevel="0" collapsed="false">
      <c r="A237" s="13"/>
      <c r="B237" s="5"/>
      <c r="C237" s="5"/>
      <c r="D237" s="5"/>
      <c r="E237" s="18"/>
      <c r="F237" s="5"/>
      <c r="G237" s="5"/>
    </row>
    <row r="238" customFormat="false" ht="15" hidden="false" customHeight="false" outlineLevel="0" collapsed="false">
      <c r="A238" s="13"/>
      <c r="B238" s="5"/>
      <c r="C238" s="5"/>
      <c r="D238" s="5"/>
      <c r="E238" s="18"/>
      <c r="F238" s="5"/>
      <c r="G238" s="5"/>
    </row>
    <row r="239" customFormat="false" ht="15" hidden="false" customHeight="false" outlineLevel="0" collapsed="false">
      <c r="A239" s="13"/>
      <c r="B239" s="5"/>
      <c r="C239" s="5"/>
      <c r="D239" s="5"/>
      <c r="E239" s="18"/>
      <c r="F239" s="5"/>
      <c r="G239" s="5"/>
    </row>
    <row r="240" customFormat="false" ht="15" hidden="false" customHeight="false" outlineLevel="0" collapsed="false">
      <c r="A240" s="13"/>
      <c r="B240" s="5"/>
      <c r="C240" s="5"/>
      <c r="D240" s="5"/>
      <c r="E240" s="18"/>
      <c r="F240" s="5"/>
      <c r="G240" s="5"/>
    </row>
    <row r="241" customFormat="false" ht="15" hidden="false" customHeight="false" outlineLevel="0" collapsed="false">
      <c r="A241" s="13"/>
      <c r="B241" s="5"/>
      <c r="C241" s="5"/>
      <c r="D241" s="5"/>
      <c r="E241" s="18"/>
      <c r="F241" s="5"/>
      <c r="G241" s="5"/>
    </row>
    <row r="242" customFormat="false" ht="15" hidden="false" customHeight="false" outlineLevel="0" collapsed="false">
      <c r="A242" s="13"/>
      <c r="B242" s="5"/>
      <c r="C242" s="5"/>
      <c r="D242" s="5"/>
      <c r="E242" s="18"/>
      <c r="F242" s="5"/>
      <c r="G242" s="5"/>
    </row>
    <row r="243" customFormat="false" ht="15" hidden="false" customHeight="false" outlineLevel="0" collapsed="false">
      <c r="A243" s="13"/>
      <c r="B243" s="5"/>
      <c r="C243" s="5"/>
      <c r="D243" s="5"/>
      <c r="E243" s="18"/>
      <c r="F243" s="5"/>
      <c r="G243" s="5"/>
    </row>
    <row r="244" customFormat="false" ht="15" hidden="false" customHeight="false" outlineLevel="0" collapsed="false">
      <c r="A244" s="13"/>
      <c r="B244" s="5"/>
      <c r="C244" s="5"/>
      <c r="D244" s="5"/>
      <c r="E244" s="18"/>
      <c r="F244" s="5"/>
      <c r="G244" s="5"/>
    </row>
    <row r="245" customFormat="false" ht="15" hidden="false" customHeight="false" outlineLevel="0" collapsed="false">
      <c r="A245" s="13"/>
      <c r="B245" s="5"/>
      <c r="C245" s="5"/>
      <c r="D245" s="5"/>
      <c r="E245" s="18"/>
      <c r="F245" s="5"/>
      <c r="G245" s="5"/>
    </row>
    <row r="246" customFormat="false" ht="15" hidden="false" customHeight="false" outlineLevel="0" collapsed="false">
      <c r="A246" s="13"/>
      <c r="B246" s="5"/>
      <c r="C246" s="5"/>
      <c r="D246" s="5"/>
      <c r="E246" s="18"/>
      <c r="F246" s="5"/>
      <c r="G246" s="5"/>
    </row>
    <row r="247" customFormat="false" ht="15" hidden="false" customHeight="false" outlineLevel="0" collapsed="false">
      <c r="A247" s="13"/>
      <c r="B247" s="5"/>
      <c r="C247" s="5"/>
      <c r="D247" s="5"/>
      <c r="E247" s="18"/>
      <c r="F247" s="5"/>
      <c r="G247" s="5"/>
    </row>
    <row r="248" customFormat="false" ht="15" hidden="false" customHeight="false" outlineLevel="0" collapsed="false">
      <c r="A248" s="13"/>
      <c r="B248" s="5"/>
      <c r="C248" s="5"/>
      <c r="D248" s="5"/>
      <c r="E248" s="18"/>
      <c r="F248" s="5"/>
      <c r="G248" s="5"/>
    </row>
    <row r="249" customFormat="false" ht="15" hidden="false" customHeight="false" outlineLevel="0" collapsed="false">
      <c r="A249" s="13"/>
      <c r="B249" s="5"/>
      <c r="C249" s="5"/>
      <c r="D249" s="5"/>
      <c r="E249" s="18"/>
      <c r="F249" s="5"/>
      <c r="G249" s="5"/>
    </row>
    <row r="250" customFormat="false" ht="15" hidden="false" customHeight="false" outlineLevel="0" collapsed="false">
      <c r="A250" s="13"/>
      <c r="B250" s="5"/>
      <c r="C250" s="5"/>
      <c r="D250" s="5"/>
      <c r="E250" s="18"/>
      <c r="F250" s="5"/>
      <c r="G250" s="5"/>
    </row>
    <row r="251" customFormat="false" ht="15" hidden="false" customHeight="false" outlineLevel="0" collapsed="false">
      <c r="A251" s="13"/>
      <c r="B251" s="5"/>
      <c r="C251" s="5"/>
      <c r="D251" s="5"/>
      <c r="E251" s="18"/>
      <c r="F251" s="5"/>
      <c r="G251" s="5"/>
    </row>
    <row r="252" customFormat="false" ht="15" hidden="false" customHeight="false" outlineLevel="0" collapsed="false">
      <c r="A252" s="13"/>
      <c r="B252" s="5"/>
      <c r="C252" s="5"/>
      <c r="D252" s="5"/>
      <c r="E252" s="18"/>
      <c r="F252" s="5"/>
      <c r="G252" s="5"/>
    </row>
    <row r="253" customFormat="false" ht="15" hidden="false" customHeight="false" outlineLevel="0" collapsed="false">
      <c r="A253" s="13"/>
      <c r="B253" s="5"/>
      <c r="C253" s="5"/>
      <c r="D253" s="5"/>
      <c r="E253" s="18"/>
      <c r="F253" s="5"/>
      <c r="G253" s="5"/>
    </row>
    <row r="254" customFormat="false" ht="15" hidden="false" customHeight="false" outlineLevel="0" collapsed="false">
      <c r="A254" s="13"/>
      <c r="B254" s="5"/>
      <c r="C254" s="5"/>
      <c r="D254" s="5"/>
      <c r="E254" s="18"/>
      <c r="F254" s="5"/>
      <c r="G254" s="5"/>
    </row>
    <row r="255" customFormat="false" ht="15" hidden="false" customHeight="false" outlineLevel="0" collapsed="false">
      <c r="A255" s="13"/>
      <c r="B255" s="5"/>
      <c r="C255" s="5"/>
      <c r="D255" s="5"/>
      <c r="E255" s="18"/>
      <c r="F255" s="5"/>
      <c r="G255" s="5"/>
    </row>
    <row r="256" customFormat="false" ht="15" hidden="false" customHeight="false" outlineLevel="0" collapsed="false">
      <c r="A256" s="13"/>
      <c r="B256" s="5"/>
      <c r="C256" s="5"/>
      <c r="D256" s="5"/>
      <c r="E256" s="18"/>
      <c r="F256" s="5"/>
      <c r="G256" s="5"/>
    </row>
    <row r="257" customFormat="false" ht="15" hidden="false" customHeight="false" outlineLevel="0" collapsed="false">
      <c r="A257" s="13"/>
      <c r="B257" s="5"/>
      <c r="C257" s="5"/>
      <c r="D257" s="5"/>
      <c r="E257" s="18"/>
      <c r="F257" s="5"/>
      <c r="G257" s="5"/>
    </row>
    <row r="258" customFormat="false" ht="15" hidden="false" customHeight="false" outlineLevel="0" collapsed="false">
      <c r="A258" s="13"/>
      <c r="B258" s="5"/>
      <c r="C258" s="5"/>
      <c r="D258" s="5"/>
      <c r="E258" s="18"/>
      <c r="F258" s="5"/>
      <c r="G258" s="5"/>
    </row>
    <row r="259" customFormat="false" ht="15" hidden="false" customHeight="false" outlineLevel="0" collapsed="false">
      <c r="A259" s="13"/>
      <c r="B259" s="5"/>
      <c r="C259" s="5"/>
      <c r="D259" s="5"/>
      <c r="E259" s="18"/>
      <c r="F259" s="5"/>
      <c r="G259" s="5"/>
    </row>
    <row r="260" customFormat="false" ht="15" hidden="false" customHeight="false" outlineLevel="0" collapsed="false">
      <c r="A260" s="13"/>
      <c r="B260" s="5"/>
      <c r="C260" s="5"/>
      <c r="D260" s="5"/>
      <c r="E260" s="18"/>
      <c r="F260" s="5"/>
      <c r="G260" s="5"/>
    </row>
    <row r="261" customFormat="false" ht="15" hidden="false" customHeight="false" outlineLevel="0" collapsed="false">
      <c r="A261" s="13"/>
      <c r="B261" s="5"/>
      <c r="C261" s="5"/>
      <c r="D261" s="5"/>
      <c r="E261" s="18"/>
      <c r="F261" s="5"/>
      <c r="G261" s="5"/>
    </row>
    <row r="262" customFormat="false" ht="15" hidden="false" customHeight="false" outlineLevel="0" collapsed="false">
      <c r="A262" s="13"/>
      <c r="B262" s="5"/>
      <c r="C262" s="5"/>
      <c r="D262" s="5"/>
      <c r="E262" s="18"/>
      <c r="F262" s="5"/>
      <c r="G262" s="5"/>
    </row>
    <row r="263" customFormat="false" ht="15" hidden="false" customHeight="false" outlineLevel="0" collapsed="false">
      <c r="A263" s="13"/>
      <c r="B263" s="5"/>
      <c r="C263" s="5"/>
      <c r="D263" s="5"/>
      <c r="E263" s="18"/>
      <c r="F263" s="5"/>
      <c r="G263" s="5"/>
    </row>
    <row r="264" customFormat="false" ht="15" hidden="false" customHeight="false" outlineLevel="0" collapsed="false">
      <c r="A264" s="13"/>
      <c r="B264" s="5"/>
      <c r="C264" s="5"/>
      <c r="D264" s="5"/>
      <c r="E264" s="18"/>
      <c r="F264" s="5"/>
      <c r="G264" s="5"/>
    </row>
    <row r="265" customFormat="false" ht="15" hidden="false" customHeight="false" outlineLevel="0" collapsed="false">
      <c r="A265" s="13"/>
      <c r="B265" s="5"/>
      <c r="C265" s="5"/>
      <c r="D265" s="5"/>
      <c r="E265" s="18"/>
      <c r="F265" s="5"/>
      <c r="G265" s="5"/>
    </row>
    <row r="266" customFormat="false" ht="15" hidden="false" customHeight="false" outlineLevel="0" collapsed="false">
      <c r="A266" s="13"/>
      <c r="B266" s="5"/>
      <c r="C266" s="5"/>
      <c r="D266" s="5"/>
      <c r="E266" s="18"/>
      <c r="F266" s="5"/>
      <c r="G266" s="5"/>
    </row>
    <row r="267" customFormat="false" ht="15" hidden="false" customHeight="false" outlineLevel="0" collapsed="false">
      <c r="A267" s="13"/>
      <c r="B267" s="5"/>
      <c r="C267" s="5"/>
      <c r="D267" s="5"/>
      <c r="E267" s="18"/>
      <c r="F267" s="5"/>
      <c r="G267" s="5"/>
    </row>
    <row r="268" customFormat="false" ht="15" hidden="false" customHeight="false" outlineLevel="0" collapsed="false">
      <c r="A268" s="13"/>
      <c r="B268" s="5"/>
      <c r="C268" s="5"/>
      <c r="D268" s="5"/>
      <c r="E268" s="18"/>
      <c r="F268" s="5"/>
      <c r="G268" s="5"/>
    </row>
    <row r="269" customFormat="false" ht="15" hidden="false" customHeight="false" outlineLevel="0" collapsed="false">
      <c r="A269" s="13"/>
      <c r="B269" s="5"/>
      <c r="C269" s="5"/>
      <c r="D269" s="5"/>
      <c r="E269" s="18"/>
      <c r="F269" s="5"/>
      <c r="G269" s="5"/>
    </row>
    <row r="270" customFormat="false" ht="15" hidden="false" customHeight="false" outlineLevel="0" collapsed="false">
      <c r="A270" s="13"/>
      <c r="B270" s="5"/>
      <c r="C270" s="5"/>
      <c r="D270" s="5"/>
      <c r="E270" s="18"/>
      <c r="F270" s="5"/>
      <c r="G270" s="5"/>
    </row>
    <row r="271" customFormat="false" ht="15" hidden="false" customHeight="false" outlineLevel="0" collapsed="false">
      <c r="A271" s="13"/>
      <c r="B271" s="5"/>
      <c r="C271" s="5"/>
      <c r="D271" s="5"/>
      <c r="E271" s="18"/>
      <c r="F271" s="5"/>
      <c r="G271" s="5"/>
    </row>
    <row r="272" customFormat="false" ht="15" hidden="false" customHeight="false" outlineLevel="0" collapsed="false">
      <c r="A272" s="13"/>
      <c r="B272" s="5"/>
      <c r="C272" s="5"/>
      <c r="D272" s="5"/>
      <c r="E272" s="18"/>
      <c r="F272" s="5"/>
      <c r="G272" s="5"/>
    </row>
    <row r="273" customFormat="false" ht="15" hidden="false" customHeight="false" outlineLevel="0" collapsed="false">
      <c r="A273" s="13"/>
      <c r="B273" s="5"/>
      <c r="C273" s="5"/>
      <c r="D273" s="5"/>
      <c r="E273" s="18"/>
      <c r="F273" s="5"/>
      <c r="G273" s="5"/>
    </row>
    <row r="274" customFormat="false" ht="15" hidden="false" customHeight="false" outlineLevel="0" collapsed="false">
      <c r="A274" s="13"/>
      <c r="B274" s="5"/>
      <c r="C274" s="5"/>
      <c r="D274" s="5"/>
      <c r="E274" s="18"/>
      <c r="F274" s="5"/>
      <c r="G274" s="5"/>
    </row>
    <row r="275" customFormat="false" ht="15" hidden="false" customHeight="false" outlineLevel="0" collapsed="false">
      <c r="A275" s="13"/>
      <c r="B275" s="5"/>
      <c r="C275" s="5"/>
      <c r="D275" s="5"/>
      <c r="E275" s="18"/>
      <c r="F275" s="5"/>
      <c r="G275" s="5"/>
    </row>
    <row r="276" customFormat="false" ht="15" hidden="false" customHeight="false" outlineLevel="0" collapsed="false">
      <c r="A276" s="13"/>
      <c r="B276" s="5"/>
      <c r="C276" s="5"/>
      <c r="D276" s="5"/>
      <c r="E276" s="18"/>
      <c r="F276" s="5"/>
      <c r="G276" s="5"/>
    </row>
    <row r="277" customFormat="false" ht="15" hidden="false" customHeight="false" outlineLevel="0" collapsed="false">
      <c r="A277" s="13"/>
      <c r="B277" s="5"/>
      <c r="C277" s="5"/>
      <c r="D277" s="5"/>
      <c r="E277" s="18"/>
      <c r="F277" s="5"/>
      <c r="G277" s="5"/>
    </row>
    <row r="278" customFormat="false" ht="15" hidden="false" customHeight="false" outlineLevel="0" collapsed="false">
      <c r="A278" s="13"/>
      <c r="B278" s="5"/>
      <c r="C278" s="5"/>
      <c r="D278" s="5"/>
      <c r="E278" s="18"/>
      <c r="F278" s="5"/>
      <c r="G278" s="5"/>
    </row>
    <row r="279" customFormat="false" ht="15" hidden="false" customHeight="false" outlineLevel="0" collapsed="false">
      <c r="A279" s="13"/>
      <c r="B279" s="5"/>
      <c r="C279" s="5"/>
      <c r="D279" s="5"/>
      <c r="E279" s="18"/>
      <c r="F279" s="5"/>
      <c r="G279" s="5"/>
    </row>
    <row r="280" customFormat="false" ht="15" hidden="false" customHeight="false" outlineLevel="0" collapsed="false">
      <c r="A280" s="13"/>
      <c r="B280" s="5"/>
      <c r="C280" s="5"/>
      <c r="D280" s="5"/>
      <c r="E280" s="18"/>
      <c r="F280" s="5"/>
      <c r="G280" s="5"/>
    </row>
    <row r="281" customFormat="false" ht="15" hidden="false" customHeight="false" outlineLevel="0" collapsed="false">
      <c r="A281" s="13"/>
      <c r="B281" s="5"/>
      <c r="C281" s="5"/>
      <c r="D281" s="5"/>
      <c r="E281" s="18"/>
      <c r="F281" s="5"/>
      <c r="G281" s="5"/>
    </row>
    <row r="282" customFormat="false" ht="15" hidden="false" customHeight="false" outlineLevel="0" collapsed="false">
      <c r="A282" s="13"/>
      <c r="B282" s="5"/>
      <c r="C282" s="5"/>
      <c r="D282" s="5"/>
      <c r="E282" s="18"/>
      <c r="F282" s="5"/>
      <c r="G282" s="5"/>
    </row>
    <row r="283" customFormat="false" ht="15" hidden="false" customHeight="false" outlineLevel="0" collapsed="false">
      <c r="A283" s="13"/>
      <c r="B283" s="5"/>
      <c r="C283" s="5"/>
      <c r="D283" s="5"/>
      <c r="E283" s="18"/>
      <c r="F283" s="5"/>
      <c r="G283" s="5"/>
    </row>
    <row r="284" customFormat="false" ht="15" hidden="false" customHeight="false" outlineLevel="0" collapsed="false">
      <c r="A284" s="13"/>
      <c r="B284" s="5"/>
      <c r="C284" s="5"/>
      <c r="D284" s="5"/>
      <c r="E284" s="18"/>
      <c r="F284" s="5"/>
      <c r="G284" s="5"/>
    </row>
    <row r="285" customFormat="false" ht="15" hidden="false" customHeight="false" outlineLevel="0" collapsed="false">
      <c r="A285" s="13"/>
      <c r="B285" s="5"/>
      <c r="C285" s="5"/>
      <c r="D285" s="5"/>
      <c r="E285" s="18"/>
      <c r="F285" s="5"/>
      <c r="G285" s="5"/>
    </row>
    <row r="286" customFormat="false" ht="15" hidden="false" customHeight="false" outlineLevel="0" collapsed="false">
      <c r="A286" s="13"/>
      <c r="B286" s="5"/>
      <c r="C286" s="5"/>
      <c r="D286" s="5"/>
      <c r="E286" s="18"/>
      <c r="F286" s="5"/>
      <c r="G286" s="5"/>
    </row>
    <row r="287" customFormat="false" ht="15" hidden="false" customHeight="false" outlineLevel="0" collapsed="false">
      <c r="A287" s="13"/>
      <c r="B287" s="5"/>
      <c r="C287" s="5"/>
      <c r="D287" s="5"/>
      <c r="E287" s="18"/>
      <c r="F287" s="5"/>
      <c r="G287" s="5"/>
    </row>
    <row r="288" customFormat="false" ht="15" hidden="false" customHeight="false" outlineLevel="0" collapsed="false">
      <c r="A288" s="13"/>
      <c r="B288" s="5"/>
      <c r="C288" s="5"/>
      <c r="D288" s="5"/>
      <c r="E288" s="18"/>
      <c r="F288" s="5"/>
      <c r="G288" s="5"/>
    </row>
    <row r="289" customFormat="false" ht="15" hidden="false" customHeight="false" outlineLevel="0" collapsed="false">
      <c r="A289" s="13"/>
      <c r="B289" s="5"/>
      <c r="C289" s="5"/>
      <c r="D289" s="5"/>
      <c r="E289" s="18"/>
      <c r="F289" s="5"/>
      <c r="G289" s="5"/>
    </row>
    <row r="290" customFormat="false" ht="15" hidden="false" customHeight="false" outlineLevel="0" collapsed="false">
      <c r="A290" s="13"/>
      <c r="B290" s="5"/>
      <c r="C290" s="5"/>
      <c r="D290" s="5"/>
      <c r="E290" s="18"/>
      <c r="F290" s="5"/>
      <c r="G290" s="5"/>
    </row>
    <row r="291" customFormat="false" ht="15" hidden="false" customHeight="false" outlineLevel="0" collapsed="false">
      <c r="A291" s="13"/>
      <c r="B291" s="5"/>
      <c r="C291" s="5"/>
      <c r="D291" s="5"/>
      <c r="E291" s="18"/>
      <c r="F291" s="5"/>
      <c r="G291" s="5"/>
    </row>
    <row r="292" customFormat="false" ht="15" hidden="false" customHeight="false" outlineLevel="0" collapsed="false">
      <c r="A292" s="13"/>
      <c r="B292" s="5"/>
      <c r="C292" s="5"/>
      <c r="D292" s="5"/>
      <c r="E292" s="18"/>
      <c r="F292" s="5"/>
      <c r="G292" s="5"/>
    </row>
    <row r="293" customFormat="false" ht="15" hidden="false" customHeight="false" outlineLevel="0" collapsed="false">
      <c r="A293" s="13"/>
      <c r="B293" s="5"/>
      <c r="C293" s="5"/>
      <c r="D293" s="5"/>
      <c r="E293" s="18"/>
      <c r="F293" s="5"/>
      <c r="G293" s="5"/>
    </row>
    <row r="294" customFormat="false" ht="15" hidden="false" customHeight="false" outlineLevel="0" collapsed="false">
      <c r="A294" s="13"/>
      <c r="B294" s="5"/>
      <c r="C294" s="5"/>
      <c r="D294" s="5"/>
      <c r="E294" s="18"/>
      <c r="F294" s="5"/>
      <c r="G294" s="5"/>
    </row>
    <row r="295" customFormat="false" ht="15" hidden="false" customHeight="false" outlineLevel="0" collapsed="false">
      <c r="A295" s="13"/>
      <c r="B295" s="5"/>
      <c r="C295" s="5"/>
      <c r="D295" s="5"/>
      <c r="E295" s="18"/>
      <c r="F295" s="5"/>
      <c r="G295" s="5"/>
    </row>
    <row r="296" customFormat="false" ht="15" hidden="false" customHeight="false" outlineLevel="0" collapsed="false">
      <c r="A296" s="13"/>
      <c r="B296" s="5"/>
      <c r="C296" s="5"/>
      <c r="D296" s="5"/>
      <c r="E296" s="18"/>
      <c r="F296" s="5"/>
      <c r="G296" s="5"/>
    </row>
    <row r="297" customFormat="false" ht="15" hidden="false" customHeight="false" outlineLevel="0" collapsed="false">
      <c r="A297" s="13"/>
      <c r="B297" s="5"/>
      <c r="C297" s="5"/>
      <c r="D297" s="5"/>
      <c r="E297" s="18"/>
      <c r="F297" s="5"/>
      <c r="G297" s="5"/>
    </row>
    <row r="298" customFormat="false" ht="15" hidden="false" customHeight="false" outlineLevel="0" collapsed="false">
      <c r="A298" s="13"/>
      <c r="B298" s="5"/>
      <c r="C298" s="5"/>
      <c r="D298" s="5"/>
      <c r="E298" s="18"/>
      <c r="F298" s="5"/>
      <c r="G298" s="5"/>
    </row>
    <row r="299" customFormat="false" ht="15" hidden="false" customHeight="false" outlineLevel="0" collapsed="false">
      <c r="A299" s="13"/>
      <c r="B299" s="5"/>
      <c r="C299" s="5"/>
      <c r="D299" s="5"/>
      <c r="E299" s="18"/>
      <c r="F299" s="5"/>
      <c r="G299" s="5"/>
    </row>
    <row r="300" customFormat="false" ht="15" hidden="false" customHeight="false" outlineLevel="0" collapsed="false">
      <c r="A300" s="13"/>
      <c r="B300" s="5"/>
      <c r="C300" s="5"/>
      <c r="D300" s="5"/>
      <c r="E300" s="18"/>
      <c r="F300" s="5"/>
      <c r="G300" s="5"/>
    </row>
    <row r="301" customFormat="false" ht="15" hidden="false" customHeight="false" outlineLevel="0" collapsed="false">
      <c r="A301" s="13"/>
      <c r="B301" s="5"/>
      <c r="C301" s="5"/>
      <c r="D301" s="5"/>
      <c r="E301" s="18"/>
      <c r="F301" s="5"/>
      <c r="G301" s="5"/>
    </row>
    <row r="302" customFormat="false" ht="15" hidden="false" customHeight="false" outlineLevel="0" collapsed="false">
      <c r="A302" s="13"/>
      <c r="B302" s="5"/>
      <c r="C302" s="5"/>
      <c r="D302" s="5"/>
      <c r="E302" s="18"/>
      <c r="F302" s="5"/>
      <c r="G302" s="5"/>
    </row>
    <row r="303" customFormat="false" ht="15" hidden="false" customHeight="false" outlineLevel="0" collapsed="false">
      <c r="A303" s="13"/>
      <c r="B303" s="5"/>
      <c r="C303" s="5"/>
      <c r="D303" s="5"/>
      <c r="E303" s="18"/>
      <c r="F303" s="5"/>
      <c r="G303" s="5"/>
    </row>
    <row r="304" customFormat="false" ht="15" hidden="false" customHeight="false" outlineLevel="0" collapsed="false">
      <c r="A304" s="13"/>
      <c r="B304" s="5"/>
      <c r="C304" s="5"/>
      <c r="D304" s="5"/>
      <c r="E304" s="18"/>
      <c r="F304" s="5"/>
      <c r="G304" s="5"/>
    </row>
    <row r="305" customFormat="false" ht="15" hidden="false" customHeight="false" outlineLevel="0" collapsed="false">
      <c r="A305" s="13"/>
      <c r="B305" s="5"/>
      <c r="C305" s="5"/>
      <c r="D305" s="5"/>
      <c r="E305" s="18"/>
      <c r="F305" s="5"/>
      <c r="G305" s="5"/>
    </row>
    <row r="306" customFormat="false" ht="15" hidden="false" customHeight="false" outlineLevel="0" collapsed="false">
      <c r="A306" s="13"/>
      <c r="B306" s="5"/>
      <c r="C306" s="5"/>
      <c r="D306" s="5"/>
      <c r="E306" s="18"/>
      <c r="F306" s="5"/>
      <c r="G306" s="5"/>
    </row>
    <row r="307" customFormat="false" ht="15" hidden="false" customHeight="false" outlineLevel="0" collapsed="false">
      <c r="A307" s="13"/>
      <c r="B307" s="5"/>
      <c r="C307" s="5"/>
      <c r="D307" s="5"/>
      <c r="E307" s="18"/>
      <c r="F307" s="5"/>
      <c r="G307" s="5"/>
    </row>
    <row r="308" customFormat="false" ht="15" hidden="false" customHeight="false" outlineLevel="0" collapsed="false">
      <c r="A308" s="13"/>
      <c r="B308" s="5"/>
      <c r="C308" s="5"/>
      <c r="D308" s="5"/>
      <c r="E308" s="18"/>
      <c r="F308" s="5"/>
      <c r="G308" s="5"/>
    </row>
    <row r="309" customFormat="false" ht="15" hidden="false" customHeight="false" outlineLevel="0" collapsed="false">
      <c r="A309" s="13"/>
      <c r="B309" s="5"/>
      <c r="C309" s="5"/>
      <c r="D309" s="5"/>
      <c r="E309" s="18"/>
      <c r="F309" s="5"/>
      <c r="G309" s="5"/>
    </row>
    <row r="310" customFormat="false" ht="15" hidden="false" customHeight="false" outlineLevel="0" collapsed="false">
      <c r="A310" s="13"/>
      <c r="B310" s="5"/>
      <c r="C310" s="5"/>
      <c r="D310" s="5"/>
      <c r="E310" s="18"/>
      <c r="F310" s="5"/>
      <c r="G310" s="5"/>
    </row>
    <row r="311" customFormat="false" ht="15" hidden="false" customHeight="false" outlineLevel="0" collapsed="false">
      <c r="A311" s="13"/>
      <c r="B311" s="5"/>
      <c r="C311" s="5"/>
      <c r="D311" s="5"/>
      <c r="E311" s="18"/>
      <c r="F311" s="5"/>
      <c r="G311" s="5"/>
    </row>
    <row r="312" customFormat="false" ht="15" hidden="false" customHeight="false" outlineLevel="0" collapsed="false">
      <c r="A312" s="13"/>
      <c r="B312" s="5"/>
      <c r="C312" s="5"/>
      <c r="D312" s="5"/>
      <c r="E312" s="18"/>
      <c r="F312" s="5"/>
      <c r="G312" s="5"/>
    </row>
    <row r="313" customFormat="false" ht="15" hidden="false" customHeight="false" outlineLevel="0" collapsed="false">
      <c r="A313" s="13"/>
      <c r="B313" s="5"/>
      <c r="C313" s="5"/>
      <c r="D313" s="5"/>
      <c r="E313" s="18"/>
      <c r="F313" s="5"/>
      <c r="G313" s="5"/>
    </row>
    <row r="314" customFormat="false" ht="15" hidden="false" customHeight="false" outlineLevel="0" collapsed="false">
      <c r="A314" s="13"/>
      <c r="B314" s="5"/>
      <c r="C314" s="5"/>
      <c r="D314" s="5"/>
      <c r="E314" s="18"/>
      <c r="F314" s="5"/>
      <c r="G314" s="5"/>
    </row>
    <row r="315" customFormat="false" ht="15" hidden="false" customHeight="false" outlineLevel="0" collapsed="false">
      <c r="A315" s="13"/>
      <c r="B315" s="5"/>
      <c r="C315" s="5"/>
      <c r="D315" s="5"/>
      <c r="E315" s="18"/>
      <c r="F315" s="5"/>
      <c r="G315" s="5"/>
    </row>
    <row r="316" customFormat="false" ht="15" hidden="false" customHeight="false" outlineLevel="0" collapsed="false">
      <c r="A316" s="13"/>
      <c r="B316" s="5"/>
      <c r="C316" s="5"/>
      <c r="D316" s="5"/>
      <c r="E316" s="18"/>
      <c r="F316" s="5"/>
      <c r="G316" s="5"/>
    </row>
    <row r="317" customFormat="false" ht="15" hidden="false" customHeight="false" outlineLevel="0" collapsed="false">
      <c r="A317" s="13"/>
      <c r="B317" s="5"/>
      <c r="C317" s="5"/>
      <c r="D317" s="5"/>
      <c r="E317" s="18"/>
      <c r="F317" s="5"/>
      <c r="G317" s="5"/>
    </row>
    <row r="318" customFormat="false" ht="15" hidden="false" customHeight="false" outlineLevel="0" collapsed="false">
      <c r="A318" s="13"/>
      <c r="B318" s="5"/>
      <c r="C318" s="5"/>
      <c r="D318" s="5"/>
      <c r="E318" s="18"/>
      <c r="F318" s="5"/>
      <c r="G318" s="5"/>
    </row>
    <row r="319" customFormat="false" ht="15" hidden="false" customHeight="false" outlineLevel="0" collapsed="false">
      <c r="A319" s="13"/>
      <c r="B319" s="5"/>
      <c r="C319" s="5"/>
      <c r="D319" s="5"/>
      <c r="E319" s="18"/>
      <c r="F319" s="5"/>
      <c r="G319" s="5"/>
    </row>
    <row r="320" customFormat="false" ht="15" hidden="false" customHeight="false" outlineLevel="0" collapsed="false">
      <c r="A320" s="13"/>
      <c r="B320" s="5"/>
      <c r="C320" s="5"/>
      <c r="D320" s="5"/>
      <c r="E320" s="18"/>
      <c r="F320" s="5"/>
      <c r="G320" s="5"/>
    </row>
    <row r="321" customFormat="false" ht="15" hidden="false" customHeight="false" outlineLevel="0" collapsed="false">
      <c r="A321" s="13"/>
      <c r="B321" s="5"/>
      <c r="C321" s="5"/>
      <c r="D321" s="5"/>
      <c r="E321" s="18"/>
      <c r="F321" s="5"/>
      <c r="G321" s="5"/>
    </row>
    <row r="322" customFormat="false" ht="15" hidden="false" customHeight="false" outlineLevel="0" collapsed="false">
      <c r="A322" s="13"/>
      <c r="B322" s="5"/>
      <c r="C322" s="5"/>
      <c r="D322" s="5"/>
      <c r="E322" s="18"/>
      <c r="F322" s="5"/>
      <c r="G322" s="5"/>
    </row>
    <row r="323" customFormat="false" ht="15" hidden="false" customHeight="false" outlineLevel="0" collapsed="false">
      <c r="A323" s="13"/>
      <c r="B323" s="5"/>
      <c r="C323" s="5"/>
      <c r="D323" s="5"/>
      <c r="E323" s="18"/>
      <c r="F323" s="5"/>
      <c r="G323" s="5"/>
    </row>
    <row r="324" customFormat="false" ht="15" hidden="false" customHeight="false" outlineLevel="0" collapsed="false">
      <c r="A324" s="13"/>
      <c r="B324" s="5"/>
      <c r="C324" s="5"/>
      <c r="D324" s="5"/>
      <c r="E324" s="18"/>
      <c r="F324" s="5"/>
      <c r="G324" s="5"/>
    </row>
    <row r="325" customFormat="false" ht="15" hidden="false" customHeight="false" outlineLevel="0" collapsed="false">
      <c r="A325" s="13"/>
      <c r="B325" s="5"/>
      <c r="C325" s="5"/>
      <c r="D325" s="5"/>
      <c r="E325" s="18"/>
      <c r="F325" s="5"/>
      <c r="G325" s="5"/>
    </row>
    <row r="326" customFormat="false" ht="15" hidden="false" customHeight="false" outlineLevel="0" collapsed="false">
      <c r="A326" s="13"/>
      <c r="B326" s="5"/>
      <c r="C326" s="5"/>
      <c r="D326" s="5"/>
      <c r="E326" s="18"/>
      <c r="F326" s="5"/>
      <c r="G326" s="5"/>
    </row>
    <row r="327" customFormat="false" ht="15" hidden="false" customHeight="false" outlineLevel="0" collapsed="false">
      <c r="A327" s="13"/>
      <c r="B327" s="5"/>
      <c r="C327" s="5"/>
      <c r="D327" s="5"/>
      <c r="E327" s="18"/>
      <c r="F327" s="5"/>
      <c r="G327" s="5"/>
    </row>
    <row r="328" customFormat="false" ht="15" hidden="false" customHeight="false" outlineLevel="0" collapsed="false">
      <c r="A328" s="13"/>
      <c r="B328" s="5"/>
      <c r="C328" s="5"/>
      <c r="D328" s="5"/>
      <c r="E328" s="18"/>
      <c r="F328" s="5"/>
      <c r="G328" s="5"/>
    </row>
    <row r="329" customFormat="false" ht="15" hidden="false" customHeight="false" outlineLevel="0" collapsed="false">
      <c r="A329" s="13"/>
      <c r="B329" s="5"/>
      <c r="C329" s="5"/>
      <c r="D329" s="5"/>
      <c r="E329" s="18"/>
      <c r="F329" s="5"/>
      <c r="G329" s="5"/>
    </row>
    <row r="330" customFormat="false" ht="15" hidden="false" customHeight="false" outlineLevel="0" collapsed="false">
      <c r="A330" s="13"/>
      <c r="B330" s="5"/>
      <c r="C330" s="5"/>
      <c r="D330" s="5"/>
      <c r="E330" s="18"/>
      <c r="F330" s="5"/>
      <c r="G330" s="5"/>
    </row>
    <row r="331" customFormat="false" ht="15" hidden="false" customHeight="false" outlineLevel="0" collapsed="false">
      <c r="A331" s="13"/>
      <c r="B331" s="5"/>
      <c r="C331" s="5"/>
      <c r="D331" s="5"/>
      <c r="E331" s="18"/>
      <c r="F331" s="5"/>
      <c r="G331" s="5"/>
    </row>
    <row r="332" customFormat="false" ht="15" hidden="false" customHeight="false" outlineLevel="0" collapsed="false">
      <c r="A332" s="13"/>
      <c r="B332" s="5"/>
      <c r="C332" s="5"/>
      <c r="D332" s="5"/>
      <c r="E332" s="18"/>
      <c r="F332" s="5"/>
      <c r="G332" s="5"/>
    </row>
    <row r="333" customFormat="false" ht="15" hidden="false" customHeight="false" outlineLevel="0" collapsed="false">
      <c r="A333" s="13"/>
      <c r="B333" s="5"/>
      <c r="C333" s="5"/>
      <c r="D333" s="5"/>
      <c r="E333" s="18"/>
      <c r="F333" s="5"/>
      <c r="G333" s="5"/>
    </row>
    <row r="334" customFormat="false" ht="15" hidden="false" customHeight="false" outlineLevel="0" collapsed="false">
      <c r="A334" s="13"/>
      <c r="B334" s="5"/>
      <c r="C334" s="5"/>
      <c r="D334" s="5"/>
      <c r="E334" s="18"/>
      <c r="F334" s="5"/>
      <c r="G334" s="5"/>
    </row>
    <row r="335" customFormat="false" ht="15" hidden="false" customHeight="false" outlineLevel="0" collapsed="false">
      <c r="A335" s="13"/>
      <c r="B335" s="5"/>
      <c r="C335" s="5"/>
      <c r="D335" s="5"/>
      <c r="E335" s="18"/>
      <c r="F335" s="5"/>
      <c r="G335" s="5"/>
    </row>
    <row r="336" customFormat="false" ht="15" hidden="false" customHeight="false" outlineLevel="0" collapsed="false">
      <c r="A336" s="13"/>
      <c r="B336" s="5"/>
      <c r="C336" s="5"/>
      <c r="D336" s="5"/>
      <c r="E336" s="18"/>
      <c r="F336" s="5"/>
      <c r="G336" s="5"/>
    </row>
    <row r="337" customFormat="false" ht="15" hidden="false" customHeight="false" outlineLevel="0" collapsed="false">
      <c r="A337" s="13"/>
      <c r="B337" s="5"/>
      <c r="C337" s="5"/>
      <c r="D337" s="5"/>
      <c r="E337" s="18"/>
      <c r="F337" s="5"/>
      <c r="G337" s="5"/>
    </row>
    <row r="338" customFormat="false" ht="15" hidden="false" customHeight="false" outlineLevel="0" collapsed="false">
      <c r="A338" s="13"/>
      <c r="B338" s="5"/>
      <c r="C338" s="5"/>
      <c r="D338" s="5"/>
      <c r="E338" s="18"/>
      <c r="F338" s="5"/>
      <c r="G338" s="5"/>
    </row>
    <row r="339" customFormat="false" ht="15" hidden="false" customHeight="false" outlineLevel="0" collapsed="false">
      <c r="A339" s="13"/>
      <c r="B339" s="5"/>
      <c r="C339" s="5"/>
      <c r="D339" s="5"/>
      <c r="E339" s="18"/>
      <c r="F339" s="5"/>
      <c r="G339" s="5"/>
    </row>
    <row r="340" customFormat="false" ht="15" hidden="false" customHeight="false" outlineLevel="0" collapsed="false">
      <c r="A340" s="13"/>
      <c r="B340" s="5"/>
      <c r="C340" s="5"/>
      <c r="D340" s="5"/>
      <c r="E340" s="18"/>
      <c r="F340" s="5"/>
      <c r="G340" s="5"/>
    </row>
    <row r="341" customFormat="false" ht="15" hidden="false" customHeight="false" outlineLevel="0" collapsed="false">
      <c r="A341" s="13"/>
      <c r="B341" s="5"/>
      <c r="C341" s="5"/>
      <c r="D341" s="5"/>
      <c r="E341" s="18"/>
      <c r="F341" s="5"/>
      <c r="G341" s="5"/>
    </row>
    <row r="342" customFormat="false" ht="15" hidden="false" customHeight="false" outlineLevel="0" collapsed="false">
      <c r="A342" s="13"/>
      <c r="B342" s="5"/>
      <c r="C342" s="5"/>
      <c r="D342" s="5"/>
      <c r="E342" s="18"/>
      <c r="F342" s="5"/>
      <c r="G342" s="5"/>
    </row>
    <row r="343" customFormat="false" ht="15" hidden="false" customHeight="false" outlineLevel="0" collapsed="false">
      <c r="A343" s="13"/>
      <c r="B343" s="5"/>
      <c r="C343" s="5"/>
      <c r="D343" s="5"/>
      <c r="E343" s="18"/>
      <c r="F343" s="5"/>
      <c r="G343" s="5"/>
    </row>
    <row r="344" customFormat="false" ht="15" hidden="false" customHeight="false" outlineLevel="0" collapsed="false">
      <c r="A344" s="13"/>
      <c r="B344" s="5"/>
      <c r="C344" s="5"/>
      <c r="D344" s="5"/>
      <c r="E344" s="18"/>
      <c r="F344" s="5"/>
      <c r="G344" s="5"/>
    </row>
    <row r="345" customFormat="false" ht="15" hidden="false" customHeight="false" outlineLevel="0" collapsed="false">
      <c r="A345" s="13"/>
      <c r="B345" s="5"/>
      <c r="C345" s="5"/>
      <c r="D345" s="5"/>
      <c r="E345" s="18"/>
      <c r="F345" s="5"/>
      <c r="G345" s="5"/>
    </row>
    <row r="346" customFormat="false" ht="15" hidden="false" customHeight="false" outlineLevel="0" collapsed="false">
      <c r="A346" s="13"/>
      <c r="B346" s="5"/>
      <c r="C346" s="5"/>
      <c r="D346" s="5"/>
      <c r="E346" s="18"/>
      <c r="F346" s="5"/>
      <c r="G346" s="5"/>
    </row>
    <row r="347" customFormat="false" ht="15" hidden="false" customHeight="false" outlineLevel="0" collapsed="false">
      <c r="A347" s="13"/>
      <c r="B347" s="5"/>
      <c r="C347" s="5"/>
      <c r="D347" s="5"/>
      <c r="E347" s="18"/>
      <c r="F347" s="5"/>
      <c r="G347" s="5"/>
    </row>
    <row r="348" customFormat="false" ht="15" hidden="false" customHeight="false" outlineLevel="0" collapsed="false">
      <c r="A348" s="13"/>
      <c r="B348" s="5"/>
      <c r="C348" s="5"/>
      <c r="D348" s="5"/>
      <c r="E348" s="18"/>
      <c r="F348" s="5"/>
      <c r="G348" s="5"/>
    </row>
    <row r="349" customFormat="false" ht="15" hidden="false" customHeight="false" outlineLevel="0" collapsed="false">
      <c r="A349" s="13"/>
      <c r="B349" s="5"/>
      <c r="C349" s="5"/>
      <c r="D349" s="5"/>
      <c r="E349" s="18"/>
      <c r="F349" s="5"/>
      <c r="G349" s="5"/>
    </row>
    <row r="350" customFormat="false" ht="15" hidden="false" customHeight="false" outlineLevel="0" collapsed="false">
      <c r="A350" s="13"/>
      <c r="B350" s="5"/>
      <c r="C350" s="5"/>
      <c r="D350" s="5"/>
      <c r="E350" s="18"/>
      <c r="F350" s="5"/>
      <c r="G350" s="5"/>
    </row>
    <row r="351" customFormat="false" ht="15" hidden="false" customHeight="false" outlineLevel="0" collapsed="false">
      <c r="A351" s="13"/>
      <c r="B351" s="5"/>
      <c r="C351" s="5"/>
      <c r="D351" s="5"/>
      <c r="E351" s="18"/>
      <c r="F351" s="5"/>
      <c r="G351" s="5"/>
    </row>
    <row r="352" customFormat="false" ht="15" hidden="false" customHeight="false" outlineLevel="0" collapsed="false">
      <c r="A352" s="13"/>
      <c r="B352" s="5"/>
      <c r="C352" s="5"/>
      <c r="D352" s="5"/>
      <c r="E352" s="18"/>
      <c r="F352" s="5"/>
      <c r="G352" s="5"/>
    </row>
    <row r="353" customFormat="false" ht="15" hidden="false" customHeight="false" outlineLevel="0" collapsed="false">
      <c r="A353" s="13"/>
      <c r="B353" s="5"/>
      <c r="C353" s="5"/>
      <c r="D353" s="5"/>
      <c r="E353" s="18"/>
      <c r="F353" s="5"/>
      <c r="G353" s="5"/>
    </row>
    <row r="354" customFormat="false" ht="15" hidden="false" customHeight="false" outlineLevel="0" collapsed="false">
      <c r="A354" s="13"/>
      <c r="B354" s="5"/>
      <c r="C354" s="5"/>
      <c r="D354" s="5"/>
      <c r="E354" s="18"/>
      <c r="F354" s="5"/>
      <c r="G354" s="5"/>
    </row>
    <row r="355" customFormat="false" ht="15" hidden="false" customHeight="false" outlineLevel="0" collapsed="false">
      <c r="A355" s="13"/>
      <c r="B355" s="5"/>
      <c r="C355" s="5"/>
      <c r="D355" s="5"/>
      <c r="E355" s="18"/>
      <c r="F355" s="5"/>
      <c r="G355" s="5"/>
    </row>
    <row r="356" customFormat="false" ht="15" hidden="false" customHeight="false" outlineLevel="0" collapsed="false">
      <c r="A356" s="13"/>
      <c r="B356" s="5"/>
      <c r="C356" s="5"/>
      <c r="D356" s="5"/>
      <c r="E356" s="18"/>
      <c r="F356" s="5"/>
      <c r="G356" s="5"/>
    </row>
    <row r="357" customFormat="false" ht="15" hidden="false" customHeight="false" outlineLevel="0" collapsed="false">
      <c r="A357" s="13"/>
      <c r="B357" s="5"/>
      <c r="C357" s="5"/>
      <c r="D357" s="5"/>
      <c r="E357" s="18"/>
      <c r="F357" s="5"/>
      <c r="G357" s="5"/>
    </row>
    <row r="358" customFormat="false" ht="15" hidden="false" customHeight="false" outlineLevel="0" collapsed="false">
      <c r="A358" s="13"/>
      <c r="B358" s="5"/>
      <c r="C358" s="5"/>
      <c r="D358" s="5"/>
      <c r="E358" s="18"/>
      <c r="F358" s="5"/>
      <c r="G358" s="5"/>
    </row>
    <row r="359" customFormat="false" ht="15" hidden="false" customHeight="false" outlineLevel="0" collapsed="false">
      <c r="A359" s="13"/>
      <c r="B359" s="5"/>
      <c r="C359" s="5"/>
      <c r="D359" s="5"/>
      <c r="E359" s="18"/>
      <c r="F359" s="5"/>
      <c r="G359" s="5"/>
    </row>
    <row r="360" customFormat="false" ht="15" hidden="false" customHeight="false" outlineLevel="0" collapsed="false">
      <c r="A360" s="13"/>
      <c r="B360" s="5"/>
      <c r="C360" s="5"/>
      <c r="D360" s="5"/>
      <c r="E360" s="18"/>
      <c r="F360" s="5"/>
      <c r="G360" s="5"/>
    </row>
    <row r="361" customFormat="false" ht="15" hidden="false" customHeight="false" outlineLevel="0" collapsed="false">
      <c r="A361" s="13"/>
      <c r="B361" s="5"/>
      <c r="C361" s="5"/>
      <c r="D361" s="5"/>
      <c r="E361" s="18"/>
      <c r="F361" s="5"/>
      <c r="G361" s="5"/>
    </row>
    <row r="362" customFormat="false" ht="15" hidden="false" customHeight="false" outlineLevel="0" collapsed="false">
      <c r="A362" s="13"/>
      <c r="B362" s="5"/>
      <c r="C362" s="5"/>
      <c r="D362" s="5"/>
      <c r="E362" s="18"/>
      <c r="F362" s="5"/>
      <c r="G362" s="5"/>
    </row>
    <row r="363" customFormat="false" ht="15" hidden="false" customHeight="false" outlineLevel="0" collapsed="false">
      <c r="A363" s="13"/>
      <c r="B363" s="5"/>
      <c r="C363" s="5"/>
      <c r="D363" s="5"/>
      <c r="E363" s="18"/>
      <c r="F363" s="5"/>
      <c r="G363" s="5"/>
    </row>
    <row r="364" customFormat="false" ht="15" hidden="false" customHeight="false" outlineLevel="0" collapsed="false">
      <c r="A364" s="13"/>
      <c r="B364" s="5"/>
      <c r="C364" s="5"/>
      <c r="D364" s="5"/>
      <c r="E364" s="18"/>
      <c r="F364" s="5"/>
      <c r="G364" s="5"/>
    </row>
    <row r="365" customFormat="false" ht="15" hidden="false" customHeight="false" outlineLevel="0" collapsed="false">
      <c r="A365" s="13"/>
      <c r="B365" s="5"/>
      <c r="C365" s="5"/>
      <c r="D365" s="5"/>
      <c r="E365" s="18"/>
      <c r="F365" s="5"/>
      <c r="G365" s="5"/>
    </row>
    <row r="366" customFormat="false" ht="15" hidden="false" customHeight="false" outlineLevel="0" collapsed="false">
      <c r="A366" s="13"/>
      <c r="B366" s="5"/>
      <c r="C366" s="5"/>
      <c r="D366" s="5"/>
      <c r="E366" s="18"/>
      <c r="F366" s="5"/>
      <c r="G366" s="5"/>
    </row>
    <row r="367" customFormat="false" ht="15" hidden="false" customHeight="false" outlineLevel="0" collapsed="false">
      <c r="A367" s="13"/>
      <c r="B367" s="5"/>
      <c r="C367" s="5"/>
      <c r="D367" s="5"/>
      <c r="E367" s="18"/>
      <c r="F367" s="5"/>
      <c r="G367" s="5"/>
    </row>
    <row r="368" customFormat="false" ht="15" hidden="false" customHeight="false" outlineLevel="0" collapsed="false">
      <c r="A368" s="13"/>
      <c r="B368" s="5"/>
      <c r="C368" s="5"/>
      <c r="D368" s="5"/>
      <c r="E368" s="18"/>
      <c r="F368" s="5"/>
      <c r="G368" s="5"/>
    </row>
    <row r="369" customFormat="false" ht="15" hidden="false" customHeight="false" outlineLevel="0" collapsed="false">
      <c r="A369" s="13"/>
      <c r="B369" s="5"/>
      <c r="C369" s="5"/>
      <c r="D369" s="5"/>
      <c r="E369" s="18"/>
      <c r="F369" s="5"/>
      <c r="G369" s="5"/>
    </row>
    <row r="370" customFormat="false" ht="15" hidden="false" customHeight="false" outlineLevel="0" collapsed="false">
      <c r="A370" s="13"/>
      <c r="B370" s="5"/>
      <c r="C370" s="5"/>
      <c r="D370" s="5"/>
      <c r="E370" s="18"/>
      <c r="F370" s="5"/>
      <c r="G370" s="5"/>
    </row>
    <row r="371" customFormat="false" ht="15" hidden="false" customHeight="false" outlineLevel="0" collapsed="false">
      <c r="A371" s="13"/>
      <c r="B371" s="5"/>
      <c r="C371" s="5"/>
      <c r="D371" s="5"/>
      <c r="E371" s="18"/>
      <c r="F371" s="5"/>
      <c r="G371" s="5"/>
    </row>
    <row r="372" customFormat="false" ht="15" hidden="false" customHeight="false" outlineLevel="0" collapsed="false">
      <c r="A372" s="13"/>
      <c r="B372" s="5"/>
      <c r="C372" s="5"/>
      <c r="D372" s="5"/>
      <c r="E372" s="18"/>
      <c r="F372" s="5"/>
      <c r="G372" s="5"/>
    </row>
    <row r="373" customFormat="false" ht="15" hidden="false" customHeight="false" outlineLevel="0" collapsed="false">
      <c r="A373" s="13"/>
      <c r="B373" s="5"/>
      <c r="C373" s="5"/>
      <c r="D373" s="5"/>
      <c r="E373" s="18"/>
      <c r="F373" s="5"/>
      <c r="G373" s="5"/>
    </row>
    <row r="374" customFormat="false" ht="15" hidden="false" customHeight="false" outlineLevel="0" collapsed="false">
      <c r="A374" s="13"/>
      <c r="B374" s="5"/>
      <c r="C374" s="5"/>
      <c r="D374" s="5"/>
      <c r="E374" s="18"/>
      <c r="F374" s="5"/>
      <c r="G374" s="5"/>
    </row>
    <row r="375" customFormat="false" ht="15" hidden="false" customHeight="false" outlineLevel="0" collapsed="false">
      <c r="A375" s="13"/>
      <c r="B375" s="5"/>
      <c r="C375" s="5"/>
      <c r="D375" s="5"/>
      <c r="E375" s="18"/>
      <c r="F375" s="5"/>
      <c r="G375" s="5"/>
    </row>
    <row r="376" customFormat="false" ht="15" hidden="false" customHeight="false" outlineLevel="0" collapsed="false">
      <c r="A376" s="13"/>
      <c r="B376" s="5"/>
      <c r="C376" s="5"/>
      <c r="D376" s="5"/>
      <c r="E376" s="18"/>
      <c r="F376" s="5"/>
      <c r="G376" s="5"/>
    </row>
    <row r="377" customFormat="false" ht="15" hidden="false" customHeight="false" outlineLevel="0" collapsed="false">
      <c r="A377" s="13"/>
      <c r="B377" s="5"/>
      <c r="C377" s="5"/>
      <c r="D377" s="5"/>
      <c r="E377" s="18"/>
      <c r="F377" s="5"/>
      <c r="G377" s="5"/>
    </row>
    <row r="378" customFormat="false" ht="15" hidden="false" customHeight="false" outlineLevel="0" collapsed="false">
      <c r="A378" s="13"/>
      <c r="B378" s="5"/>
      <c r="C378" s="5"/>
      <c r="D378" s="5"/>
      <c r="E378" s="18"/>
      <c r="F378" s="5"/>
      <c r="G378" s="5"/>
    </row>
    <row r="379" customFormat="false" ht="15" hidden="false" customHeight="false" outlineLevel="0" collapsed="false">
      <c r="A379" s="13"/>
      <c r="B379" s="5"/>
      <c r="C379" s="5"/>
      <c r="D379" s="5"/>
      <c r="E379" s="18"/>
      <c r="F379" s="5"/>
      <c r="G379" s="5"/>
    </row>
    <row r="380" customFormat="false" ht="15" hidden="false" customHeight="false" outlineLevel="0" collapsed="false">
      <c r="A380" s="13"/>
      <c r="B380" s="5"/>
      <c r="C380" s="5"/>
      <c r="D380" s="5"/>
      <c r="E380" s="18"/>
      <c r="F380" s="5"/>
      <c r="G380" s="5"/>
    </row>
    <row r="381" customFormat="false" ht="15" hidden="false" customHeight="false" outlineLevel="0" collapsed="false">
      <c r="A381" s="13"/>
      <c r="B381" s="5"/>
      <c r="C381" s="5"/>
      <c r="D381" s="5"/>
      <c r="E381" s="18"/>
      <c r="F381" s="5"/>
      <c r="G381" s="5"/>
    </row>
    <row r="382" customFormat="false" ht="15" hidden="false" customHeight="false" outlineLevel="0" collapsed="false">
      <c r="A382" s="13"/>
      <c r="B382" s="5"/>
      <c r="C382" s="5"/>
      <c r="D382" s="5"/>
      <c r="E382" s="18"/>
      <c r="F382" s="5"/>
      <c r="G382" s="5"/>
    </row>
    <row r="383" customFormat="false" ht="15" hidden="false" customHeight="false" outlineLevel="0" collapsed="false">
      <c r="A383" s="13"/>
      <c r="B383" s="5"/>
      <c r="C383" s="5"/>
      <c r="D383" s="5"/>
      <c r="E383" s="18"/>
      <c r="F383" s="5"/>
      <c r="G383" s="5"/>
    </row>
    <row r="384" customFormat="false" ht="15" hidden="false" customHeight="false" outlineLevel="0" collapsed="false">
      <c r="A384" s="13"/>
      <c r="B384" s="5"/>
      <c r="C384" s="5"/>
      <c r="D384" s="5"/>
      <c r="E384" s="18"/>
      <c r="F384" s="5"/>
      <c r="G384" s="5"/>
    </row>
    <row r="385" customFormat="false" ht="15" hidden="false" customHeight="false" outlineLevel="0" collapsed="false">
      <c r="A385" s="13"/>
      <c r="B385" s="5"/>
      <c r="C385" s="5"/>
      <c r="D385" s="5"/>
      <c r="E385" s="18"/>
      <c r="F385" s="5"/>
      <c r="G385" s="5"/>
    </row>
    <row r="386" customFormat="false" ht="15" hidden="false" customHeight="false" outlineLevel="0" collapsed="false">
      <c r="A386" s="13"/>
      <c r="B386" s="5"/>
      <c r="C386" s="5"/>
      <c r="D386" s="5"/>
      <c r="E386" s="18"/>
      <c r="F386" s="5"/>
      <c r="G386" s="5"/>
    </row>
    <row r="387" customFormat="false" ht="15" hidden="false" customHeight="false" outlineLevel="0" collapsed="false">
      <c r="A387" s="13"/>
      <c r="B387" s="5"/>
      <c r="C387" s="5"/>
      <c r="D387" s="5"/>
      <c r="E387" s="18"/>
      <c r="F387" s="5"/>
      <c r="G387" s="5"/>
    </row>
    <row r="388" customFormat="false" ht="15" hidden="false" customHeight="false" outlineLevel="0" collapsed="false">
      <c r="A388" s="13"/>
      <c r="B388" s="5"/>
      <c r="C388" s="5"/>
      <c r="D388" s="5"/>
      <c r="E388" s="18"/>
      <c r="F388" s="5"/>
      <c r="G388" s="5"/>
    </row>
    <row r="389" customFormat="false" ht="15" hidden="false" customHeight="false" outlineLevel="0" collapsed="false">
      <c r="A389" s="13"/>
      <c r="B389" s="5"/>
      <c r="C389" s="5"/>
      <c r="D389" s="5"/>
      <c r="E389" s="18"/>
      <c r="F389" s="5"/>
      <c r="G389" s="5"/>
    </row>
    <row r="390" customFormat="false" ht="15" hidden="false" customHeight="false" outlineLevel="0" collapsed="false">
      <c r="A390" s="13"/>
      <c r="B390" s="5"/>
      <c r="C390" s="5"/>
      <c r="D390" s="5"/>
      <c r="E390" s="18"/>
      <c r="F390" s="5"/>
      <c r="G390" s="5"/>
    </row>
    <row r="391" customFormat="false" ht="15" hidden="false" customHeight="false" outlineLevel="0" collapsed="false">
      <c r="A391" s="13"/>
      <c r="B391" s="5"/>
      <c r="C391" s="5"/>
      <c r="D391" s="5"/>
      <c r="E391" s="18"/>
      <c r="F391" s="5"/>
      <c r="G391" s="5"/>
    </row>
    <row r="392" customFormat="false" ht="15" hidden="false" customHeight="false" outlineLevel="0" collapsed="false">
      <c r="A392" s="13"/>
      <c r="B392" s="5"/>
      <c r="C392" s="5"/>
      <c r="D392" s="5"/>
      <c r="E392" s="18"/>
      <c r="F392" s="5"/>
      <c r="G392" s="5"/>
    </row>
    <row r="393" customFormat="false" ht="15" hidden="false" customHeight="false" outlineLevel="0" collapsed="false">
      <c r="A393" s="13"/>
      <c r="B393" s="5"/>
      <c r="C393" s="5"/>
      <c r="D393" s="5"/>
      <c r="E393" s="18"/>
      <c r="F393" s="5"/>
      <c r="G393" s="5"/>
    </row>
    <row r="394" customFormat="false" ht="15" hidden="false" customHeight="false" outlineLevel="0" collapsed="false">
      <c r="A394" s="13"/>
      <c r="B394" s="5"/>
      <c r="C394" s="5"/>
      <c r="D394" s="5"/>
      <c r="E394" s="18"/>
      <c r="F394" s="5"/>
      <c r="G394" s="5"/>
    </row>
    <row r="395" customFormat="false" ht="15" hidden="false" customHeight="false" outlineLevel="0" collapsed="false">
      <c r="A395" s="13"/>
      <c r="B395" s="5"/>
      <c r="C395" s="5"/>
      <c r="D395" s="5"/>
      <c r="E395" s="18"/>
      <c r="F395" s="5"/>
      <c r="G395" s="5"/>
    </row>
    <row r="396" customFormat="false" ht="15" hidden="false" customHeight="false" outlineLevel="0" collapsed="false">
      <c r="A396" s="13"/>
      <c r="B396" s="5"/>
      <c r="C396" s="5"/>
      <c r="D396" s="5"/>
      <c r="E396" s="18"/>
      <c r="F396" s="5"/>
      <c r="G396" s="5"/>
    </row>
    <row r="397" customFormat="false" ht="15" hidden="false" customHeight="false" outlineLevel="0" collapsed="false">
      <c r="A397" s="13"/>
      <c r="B397" s="5"/>
      <c r="C397" s="5"/>
      <c r="D397" s="5"/>
      <c r="E397" s="18"/>
      <c r="F397" s="5"/>
      <c r="G397" s="5"/>
    </row>
    <row r="398" customFormat="false" ht="15" hidden="false" customHeight="false" outlineLevel="0" collapsed="false">
      <c r="A398" s="13"/>
      <c r="B398" s="5"/>
      <c r="C398" s="5"/>
      <c r="D398" s="5"/>
      <c r="E398" s="18"/>
      <c r="F398" s="5"/>
      <c r="G398" s="5"/>
    </row>
    <row r="399" customFormat="false" ht="15" hidden="false" customHeight="false" outlineLevel="0" collapsed="false">
      <c r="A399" s="13"/>
      <c r="B399" s="5"/>
      <c r="C399" s="5"/>
      <c r="D399" s="5"/>
      <c r="E399" s="18"/>
      <c r="F399" s="5"/>
      <c r="G399" s="5"/>
    </row>
    <row r="400" customFormat="false" ht="15" hidden="false" customHeight="false" outlineLevel="0" collapsed="false">
      <c r="A400" s="13"/>
      <c r="B400" s="5"/>
      <c r="C400" s="5"/>
      <c r="D400" s="5"/>
      <c r="E400" s="18"/>
      <c r="F400" s="5"/>
      <c r="G400" s="5"/>
    </row>
    <row r="401" customFormat="false" ht="15" hidden="false" customHeight="false" outlineLevel="0" collapsed="false">
      <c r="A401" s="13"/>
      <c r="B401" s="5"/>
      <c r="C401" s="5"/>
      <c r="D401" s="5"/>
      <c r="E401" s="18"/>
      <c r="F401" s="5"/>
      <c r="G401" s="5"/>
    </row>
    <row r="402" customFormat="false" ht="15" hidden="false" customHeight="false" outlineLevel="0" collapsed="false">
      <c r="A402" s="13"/>
      <c r="B402" s="5"/>
      <c r="C402" s="5"/>
      <c r="D402" s="5"/>
      <c r="E402" s="18"/>
      <c r="F402" s="5"/>
      <c r="G402" s="5"/>
    </row>
    <row r="403" customFormat="false" ht="15" hidden="false" customHeight="false" outlineLevel="0" collapsed="false">
      <c r="A403" s="13"/>
      <c r="B403" s="5"/>
      <c r="C403" s="5"/>
      <c r="D403" s="5"/>
      <c r="E403" s="18"/>
      <c r="F403" s="5"/>
      <c r="G403" s="5"/>
    </row>
    <row r="404" customFormat="false" ht="15" hidden="false" customHeight="false" outlineLevel="0" collapsed="false">
      <c r="A404" s="13"/>
      <c r="B404" s="5"/>
      <c r="C404" s="5"/>
      <c r="D404" s="5"/>
      <c r="E404" s="18"/>
      <c r="F404" s="5"/>
      <c r="G404" s="5"/>
    </row>
    <row r="405" customFormat="false" ht="15" hidden="false" customHeight="false" outlineLevel="0" collapsed="false">
      <c r="A405" s="13"/>
      <c r="B405" s="5"/>
      <c r="C405" s="5"/>
      <c r="D405" s="5"/>
      <c r="E405" s="18"/>
      <c r="F405" s="5"/>
      <c r="G405" s="5"/>
    </row>
    <row r="406" customFormat="false" ht="15" hidden="false" customHeight="false" outlineLevel="0" collapsed="false">
      <c r="A406" s="13"/>
      <c r="B406" s="5"/>
      <c r="C406" s="5"/>
      <c r="D406" s="5"/>
      <c r="E406" s="18"/>
      <c r="F406" s="5"/>
      <c r="G406" s="5"/>
    </row>
    <row r="407" customFormat="false" ht="15" hidden="false" customHeight="false" outlineLevel="0" collapsed="false">
      <c r="A407" s="13"/>
      <c r="B407" s="5"/>
      <c r="C407" s="5"/>
      <c r="D407" s="5"/>
      <c r="E407" s="18"/>
      <c r="F407" s="5"/>
      <c r="G407" s="5"/>
    </row>
    <row r="408" customFormat="false" ht="15" hidden="false" customHeight="false" outlineLevel="0" collapsed="false">
      <c r="A408" s="13"/>
      <c r="B408" s="5"/>
      <c r="C408" s="5"/>
      <c r="D408" s="5"/>
      <c r="E408" s="18"/>
      <c r="F408" s="5"/>
      <c r="G408" s="5"/>
    </row>
    <row r="409" customFormat="false" ht="15" hidden="false" customHeight="false" outlineLevel="0" collapsed="false">
      <c r="A409" s="13"/>
      <c r="B409" s="5"/>
      <c r="C409" s="5"/>
      <c r="D409" s="5"/>
      <c r="E409" s="18"/>
      <c r="F409" s="5"/>
      <c r="G409" s="5"/>
    </row>
    <row r="410" customFormat="false" ht="15" hidden="false" customHeight="false" outlineLevel="0" collapsed="false">
      <c r="A410" s="13"/>
      <c r="B410" s="5"/>
      <c r="C410" s="5"/>
      <c r="D410" s="5"/>
      <c r="E410" s="18"/>
      <c r="F410" s="5"/>
      <c r="G410" s="5"/>
    </row>
    <row r="411" customFormat="false" ht="15" hidden="false" customHeight="false" outlineLevel="0" collapsed="false">
      <c r="A411" s="13"/>
      <c r="B411" s="5"/>
      <c r="C411" s="5"/>
      <c r="D411" s="5"/>
      <c r="E411" s="18"/>
      <c r="F411" s="5"/>
      <c r="G411" s="5"/>
    </row>
    <row r="412" customFormat="false" ht="15" hidden="false" customHeight="false" outlineLevel="0" collapsed="false">
      <c r="A412" s="13"/>
      <c r="B412" s="5"/>
      <c r="C412" s="5"/>
      <c r="D412" s="5"/>
      <c r="E412" s="18"/>
      <c r="F412" s="5"/>
      <c r="G412" s="5"/>
    </row>
    <row r="413" customFormat="false" ht="15" hidden="false" customHeight="false" outlineLevel="0" collapsed="false">
      <c r="A413" s="13"/>
      <c r="B413" s="5"/>
      <c r="C413" s="5"/>
      <c r="D413" s="5"/>
      <c r="E413" s="18"/>
      <c r="F413" s="5"/>
      <c r="G413" s="5"/>
    </row>
    <row r="414" customFormat="false" ht="15" hidden="false" customHeight="false" outlineLevel="0" collapsed="false">
      <c r="A414" s="13"/>
      <c r="B414" s="5"/>
      <c r="C414" s="5"/>
      <c r="D414" s="5"/>
      <c r="E414" s="18"/>
      <c r="F414" s="5"/>
      <c r="G414" s="5"/>
    </row>
    <row r="415" customFormat="false" ht="15" hidden="false" customHeight="false" outlineLevel="0" collapsed="false">
      <c r="A415" s="13"/>
      <c r="B415" s="5"/>
      <c r="C415" s="5"/>
      <c r="D415" s="5"/>
      <c r="E415" s="18"/>
      <c r="F415" s="5"/>
      <c r="G415" s="5"/>
    </row>
    <row r="416" customFormat="false" ht="15" hidden="false" customHeight="false" outlineLevel="0" collapsed="false">
      <c r="A416" s="13"/>
      <c r="B416" s="5"/>
      <c r="C416" s="5"/>
      <c r="D416" s="5"/>
      <c r="E416" s="18"/>
      <c r="F416" s="5"/>
      <c r="G416" s="5"/>
    </row>
    <row r="417" customFormat="false" ht="15" hidden="false" customHeight="false" outlineLevel="0" collapsed="false">
      <c r="A417" s="13"/>
      <c r="B417" s="5"/>
      <c r="C417" s="5"/>
      <c r="D417" s="5"/>
      <c r="E417" s="18"/>
      <c r="F417" s="5"/>
      <c r="G417" s="5"/>
    </row>
    <row r="418" customFormat="false" ht="15" hidden="false" customHeight="false" outlineLevel="0" collapsed="false">
      <c r="A418" s="13"/>
      <c r="B418" s="5"/>
      <c r="C418" s="5"/>
      <c r="D418" s="5"/>
      <c r="E418" s="18"/>
      <c r="F418" s="5"/>
      <c r="G418" s="5"/>
    </row>
    <row r="419" customFormat="false" ht="15" hidden="false" customHeight="false" outlineLevel="0" collapsed="false">
      <c r="A419" s="13"/>
      <c r="B419" s="5"/>
      <c r="C419" s="5"/>
      <c r="D419" s="5"/>
      <c r="E419" s="18"/>
      <c r="F419" s="5"/>
      <c r="G419" s="5"/>
    </row>
    <row r="420" customFormat="false" ht="15" hidden="false" customHeight="false" outlineLevel="0" collapsed="false">
      <c r="A420" s="13"/>
      <c r="B420" s="5"/>
      <c r="C420" s="5"/>
      <c r="D420" s="5"/>
      <c r="E420" s="18"/>
      <c r="F420" s="5"/>
      <c r="G420" s="5"/>
    </row>
    <row r="421" customFormat="false" ht="15" hidden="false" customHeight="false" outlineLevel="0" collapsed="false">
      <c r="A421" s="13"/>
      <c r="B421" s="5"/>
      <c r="C421" s="5"/>
      <c r="D421" s="5"/>
      <c r="E421" s="18"/>
      <c r="F421" s="5"/>
      <c r="G421" s="5"/>
    </row>
    <row r="422" customFormat="false" ht="15" hidden="false" customHeight="false" outlineLevel="0" collapsed="false">
      <c r="A422" s="13"/>
      <c r="B422" s="5"/>
      <c r="C422" s="5"/>
      <c r="D422" s="5"/>
      <c r="E422" s="18"/>
      <c r="F422" s="5"/>
      <c r="G422" s="5"/>
    </row>
    <row r="423" customFormat="false" ht="15" hidden="false" customHeight="false" outlineLevel="0" collapsed="false">
      <c r="A423" s="13"/>
      <c r="B423" s="5"/>
      <c r="C423" s="5"/>
      <c r="D423" s="5"/>
      <c r="E423" s="18"/>
      <c r="F423" s="5"/>
      <c r="G423" s="5"/>
    </row>
    <row r="424" customFormat="false" ht="15" hidden="false" customHeight="false" outlineLevel="0" collapsed="false">
      <c r="A424" s="13"/>
      <c r="B424" s="5"/>
      <c r="C424" s="5"/>
      <c r="D424" s="5"/>
      <c r="E424" s="18"/>
      <c r="F424" s="5"/>
      <c r="G424" s="5"/>
    </row>
    <row r="425" customFormat="false" ht="15" hidden="false" customHeight="false" outlineLevel="0" collapsed="false">
      <c r="A425" s="13"/>
      <c r="B425" s="5"/>
      <c r="C425" s="5"/>
      <c r="D425" s="5"/>
      <c r="E425" s="18"/>
      <c r="F425" s="5"/>
      <c r="G425" s="5"/>
    </row>
    <row r="426" customFormat="false" ht="15" hidden="false" customHeight="false" outlineLevel="0" collapsed="false">
      <c r="A426" s="13"/>
      <c r="B426" s="5"/>
      <c r="C426" s="5"/>
      <c r="D426" s="5"/>
      <c r="E426" s="18"/>
      <c r="F426" s="5"/>
      <c r="G426" s="5"/>
    </row>
    <row r="427" customFormat="false" ht="15" hidden="false" customHeight="false" outlineLevel="0" collapsed="false">
      <c r="A427" s="13"/>
      <c r="B427" s="5"/>
      <c r="C427" s="5"/>
      <c r="D427" s="5"/>
      <c r="E427" s="18"/>
      <c r="F427" s="5"/>
      <c r="G427" s="5"/>
    </row>
    <row r="428" customFormat="false" ht="15" hidden="false" customHeight="false" outlineLevel="0" collapsed="false">
      <c r="A428" s="13"/>
      <c r="B428" s="5"/>
      <c r="C428" s="5"/>
      <c r="D428" s="5"/>
      <c r="E428" s="18"/>
      <c r="F428" s="5"/>
      <c r="G428" s="5"/>
    </row>
    <row r="429" customFormat="false" ht="15" hidden="false" customHeight="false" outlineLevel="0" collapsed="false">
      <c r="A429" s="13"/>
      <c r="B429" s="5"/>
      <c r="C429" s="5"/>
      <c r="D429" s="5"/>
      <c r="E429" s="18"/>
      <c r="F429" s="5"/>
      <c r="G429" s="5"/>
    </row>
    <row r="430" customFormat="false" ht="15" hidden="false" customHeight="false" outlineLevel="0" collapsed="false">
      <c r="A430" s="13"/>
      <c r="B430" s="5"/>
      <c r="C430" s="5"/>
      <c r="D430" s="5"/>
      <c r="E430" s="18"/>
      <c r="F430" s="5"/>
      <c r="G430" s="5"/>
    </row>
    <row r="431" customFormat="false" ht="15" hidden="false" customHeight="false" outlineLevel="0" collapsed="false">
      <c r="A431" s="13"/>
      <c r="B431" s="5"/>
      <c r="C431" s="5"/>
      <c r="D431" s="5"/>
      <c r="E431" s="18"/>
      <c r="F431" s="5"/>
      <c r="G431" s="5"/>
    </row>
    <row r="432" customFormat="false" ht="15" hidden="false" customHeight="false" outlineLevel="0" collapsed="false">
      <c r="A432" s="13"/>
      <c r="B432" s="5"/>
      <c r="C432" s="5"/>
      <c r="D432" s="5"/>
      <c r="E432" s="18"/>
      <c r="F432" s="5"/>
      <c r="G432" s="5"/>
    </row>
    <row r="433" customFormat="false" ht="15" hidden="false" customHeight="false" outlineLevel="0" collapsed="false">
      <c r="A433" s="13"/>
      <c r="B433" s="5"/>
      <c r="C433" s="5"/>
      <c r="D433" s="5"/>
      <c r="E433" s="18"/>
      <c r="F433" s="5"/>
      <c r="G433" s="5"/>
    </row>
    <row r="434" customFormat="false" ht="15" hidden="false" customHeight="false" outlineLevel="0" collapsed="false">
      <c r="A434" s="13"/>
      <c r="B434" s="5"/>
      <c r="C434" s="5"/>
      <c r="D434" s="5"/>
      <c r="E434" s="18"/>
      <c r="F434" s="5"/>
      <c r="G434" s="5"/>
    </row>
    <row r="435" customFormat="false" ht="15" hidden="false" customHeight="false" outlineLevel="0" collapsed="false">
      <c r="A435" s="13"/>
      <c r="B435" s="5"/>
      <c r="C435" s="5"/>
      <c r="D435" s="5"/>
      <c r="E435" s="18"/>
      <c r="F435" s="5"/>
      <c r="G435" s="5"/>
    </row>
    <row r="436" customFormat="false" ht="15" hidden="false" customHeight="false" outlineLevel="0" collapsed="false">
      <c r="A436" s="13"/>
      <c r="B436" s="5"/>
      <c r="C436" s="5"/>
      <c r="D436" s="5"/>
      <c r="E436" s="18"/>
      <c r="F436" s="5"/>
      <c r="G436" s="5"/>
    </row>
    <row r="437" customFormat="false" ht="15" hidden="false" customHeight="false" outlineLevel="0" collapsed="false">
      <c r="A437" s="13"/>
      <c r="B437" s="5"/>
      <c r="C437" s="5"/>
      <c r="D437" s="5"/>
      <c r="E437" s="18"/>
      <c r="F437" s="5"/>
      <c r="G437" s="5"/>
    </row>
    <row r="438" customFormat="false" ht="15" hidden="false" customHeight="false" outlineLevel="0" collapsed="false">
      <c r="A438" s="13"/>
      <c r="B438" s="5"/>
      <c r="C438" s="5"/>
      <c r="D438" s="5"/>
      <c r="E438" s="18"/>
      <c r="F438" s="5"/>
      <c r="G438" s="5"/>
    </row>
    <row r="439" customFormat="false" ht="15" hidden="false" customHeight="false" outlineLevel="0" collapsed="false">
      <c r="A439" s="13"/>
      <c r="B439" s="5"/>
      <c r="C439" s="5"/>
      <c r="D439" s="5"/>
      <c r="E439" s="18"/>
      <c r="F439" s="5"/>
      <c r="G439" s="5"/>
    </row>
    <row r="440" customFormat="false" ht="15" hidden="false" customHeight="false" outlineLevel="0" collapsed="false">
      <c r="A440" s="13"/>
      <c r="B440" s="5"/>
      <c r="C440" s="5"/>
      <c r="D440" s="5"/>
      <c r="E440" s="18"/>
      <c r="F440" s="5"/>
      <c r="G440" s="5"/>
    </row>
    <row r="441" customFormat="false" ht="15" hidden="false" customHeight="false" outlineLevel="0" collapsed="false">
      <c r="A441" s="13"/>
      <c r="B441" s="5"/>
      <c r="C441" s="5"/>
      <c r="D441" s="5"/>
      <c r="E441" s="18"/>
      <c r="F441" s="5"/>
      <c r="G441" s="5"/>
    </row>
    <row r="442" customFormat="false" ht="15" hidden="false" customHeight="false" outlineLevel="0" collapsed="false">
      <c r="A442" s="13"/>
      <c r="B442" s="5"/>
      <c r="C442" s="5"/>
      <c r="D442" s="5"/>
      <c r="E442" s="18"/>
      <c r="F442" s="5"/>
      <c r="G442" s="5"/>
    </row>
    <row r="443" customFormat="false" ht="15" hidden="false" customHeight="false" outlineLevel="0" collapsed="false">
      <c r="A443" s="13"/>
      <c r="B443" s="5"/>
      <c r="C443" s="5"/>
      <c r="D443" s="5"/>
      <c r="E443" s="18"/>
      <c r="F443" s="5"/>
      <c r="G443" s="5"/>
    </row>
    <row r="444" customFormat="false" ht="15" hidden="false" customHeight="false" outlineLevel="0" collapsed="false">
      <c r="A444" s="13"/>
      <c r="B444" s="5"/>
      <c r="C444" s="5"/>
      <c r="D444" s="5"/>
      <c r="E444" s="18"/>
      <c r="F444" s="5"/>
      <c r="G444" s="5"/>
    </row>
    <row r="445" customFormat="false" ht="15" hidden="false" customHeight="false" outlineLevel="0" collapsed="false">
      <c r="A445" s="13"/>
      <c r="B445" s="5"/>
      <c r="C445" s="5"/>
      <c r="D445" s="5"/>
      <c r="E445" s="18"/>
      <c r="F445" s="5"/>
      <c r="G445" s="5"/>
    </row>
    <row r="446" customFormat="false" ht="15" hidden="false" customHeight="false" outlineLevel="0" collapsed="false">
      <c r="A446" s="13"/>
      <c r="B446" s="5"/>
      <c r="C446" s="5"/>
      <c r="D446" s="5"/>
      <c r="E446" s="18"/>
      <c r="F446" s="5"/>
      <c r="G446" s="5"/>
    </row>
    <row r="447" customFormat="false" ht="15" hidden="false" customHeight="false" outlineLevel="0" collapsed="false">
      <c r="A447" s="13"/>
      <c r="B447" s="5"/>
      <c r="C447" s="5"/>
      <c r="D447" s="5"/>
      <c r="E447" s="18"/>
      <c r="F447" s="5"/>
      <c r="G447" s="5"/>
    </row>
    <row r="448" customFormat="false" ht="15" hidden="false" customHeight="false" outlineLevel="0" collapsed="false">
      <c r="A448" s="13"/>
      <c r="B448" s="5"/>
      <c r="C448" s="5"/>
      <c r="D448" s="5"/>
      <c r="E448" s="18"/>
      <c r="F448" s="5"/>
      <c r="G448" s="5"/>
    </row>
    <row r="449" customFormat="false" ht="15" hidden="false" customHeight="false" outlineLevel="0" collapsed="false">
      <c r="A449" s="13"/>
      <c r="B449" s="5"/>
      <c r="C449" s="5"/>
      <c r="D449" s="5"/>
      <c r="E449" s="18"/>
      <c r="F449" s="5"/>
      <c r="G449" s="5"/>
    </row>
    <row r="450" customFormat="false" ht="15" hidden="false" customHeight="false" outlineLevel="0" collapsed="false">
      <c r="A450" s="13"/>
      <c r="B450" s="5"/>
      <c r="C450" s="5"/>
      <c r="D450" s="5"/>
      <c r="E450" s="18"/>
      <c r="F450" s="5"/>
      <c r="G450" s="5"/>
    </row>
    <row r="451" customFormat="false" ht="15" hidden="false" customHeight="false" outlineLevel="0" collapsed="false">
      <c r="A451" s="13"/>
      <c r="B451" s="5"/>
      <c r="C451" s="5"/>
      <c r="D451" s="5"/>
      <c r="E451" s="18"/>
      <c r="F451" s="5"/>
      <c r="G451" s="5"/>
    </row>
    <row r="452" customFormat="false" ht="15" hidden="false" customHeight="false" outlineLevel="0" collapsed="false">
      <c r="A452" s="13"/>
      <c r="B452" s="5"/>
      <c r="C452" s="5"/>
      <c r="D452" s="5"/>
      <c r="E452" s="18"/>
      <c r="F452" s="5"/>
      <c r="G452" s="5"/>
    </row>
    <row r="453" customFormat="false" ht="15" hidden="false" customHeight="false" outlineLevel="0" collapsed="false">
      <c r="A453" s="13"/>
      <c r="B453" s="5"/>
      <c r="C453" s="5"/>
      <c r="D453" s="5"/>
      <c r="E453" s="18"/>
      <c r="F453" s="5"/>
      <c r="G453" s="5"/>
    </row>
    <row r="454" customFormat="false" ht="15" hidden="false" customHeight="false" outlineLevel="0" collapsed="false">
      <c r="A454" s="13"/>
      <c r="B454" s="5"/>
      <c r="C454" s="5"/>
      <c r="D454" s="5"/>
      <c r="E454" s="18"/>
      <c r="F454" s="5"/>
      <c r="G454" s="5"/>
    </row>
    <row r="455" customFormat="false" ht="15" hidden="false" customHeight="false" outlineLevel="0" collapsed="false">
      <c r="A455" s="13"/>
      <c r="B455" s="5"/>
      <c r="C455" s="5"/>
      <c r="D455" s="5"/>
      <c r="E455" s="18"/>
      <c r="F455" s="5"/>
      <c r="G455" s="5"/>
    </row>
    <row r="456" customFormat="false" ht="15" hidden="false" customHeight="false" outlineLevel="0" collapsed="false">
      <c r="A456" s="13"/>
      <c r="B456" s="5"/>
      <c r="C456" s="5"/>
      <c r="D456" s="5"/>
      <c r="E456" s="18"/>
      <c r="F456" s="5"/>
      <c r="G456" s="5"/>
    </row>
    <row r="457" customFormat="false" ht="15" hidden="false" customHeight="false" outlineLevel="0" collapsed="false">
      <c r="A457" s="13"/>
      <c r="B457" s="5"/>
      <c r="C457" s="5"/>
      <c r="D457" s="5"/>
      <c r="E457" s="18"/>
      <c r="F457" s="5"/>
      <c r="G457" s="5"/>
    </row>
    <row r="458" customFormat="false" ht="15" hidden="false" customHeight="false" outlineLevel="0" collapsed="false">
      <c r="A458" s="13"/>
      <c r="B458" s="5"/>
      <c r="C458" s="5"/>
      <c r="D458" s="5"/>
      <c r="E458" s="18"/>
      <c r="F458" s="5"/>
      <c r="G458" s="5"/>
    </row>
    <row r="459" customFormat="false" ht="15" hidden="false" customHeight="false" outlineLevel="0" collapsed="false">
      <c r="A459" s="13"/>
      <c r="B459" s="5"/>
      <c r="C459" s="5"/>
      <c r="D459" s="5"/>
      <c r="E459" s="18"/>
      <c r="F459" s="5"/>
      <c r="G459" s="5"/>
    </row>
    <row r="460" customFormat="false" ht="15" hidden="false" customHeight="false" outlineLevel="0" collapsed="false">
      <c r="A460" s="13"/>
      <c r="B460" s="5"/>
      <c r="C460" s="5"/>
      <c r="D460" s="5"/>
      <c r="E460" s="18"/>
      <c r="F460" s="5"/>
      <c r="G460" s="5"/>
    </row>
    <row r="461" customFormat="false" ht="15" hidden="false" customHeight="false" outlineLevel="0" collapsed="false">
      <c r="A461" s="13"/>
      <c r="B461" s="5"/>
      <c r="C461" s="5"/>
      <c r="D461" s="5"/>
      <c r="E461" s="18"/>
      <c r="F461" s="5"/>
      <c r="G461" s="5"/>
    </row>
    <row r="462" customFormat="false" ht="15" hidden="false" customHeight="false" outlineLevel="0" collapsed="false">
      <c r="A462" s="13"/>
      <c r="B462" s="5"/>
      <c r="C462" s="5"/>
      <c r="D462" s="5"/>
      <c r="E462" s="18"/>
      <c r="F462" s="5"/>
      <c r="G462" s="5"/>
    </row>
    <row r="463" customFormat="false" ht="15" hidden="false" customHeight="false" outlineLevel="0" collapsed="false">
      <c r="A463" s="13"/>
      <c r="B463" s="5"/>
      <c r="C463" s="5"/>
      <c r="D463" s="5"/>
      <c r="E463" s="18"/>
      <c r="F463" s="5"/>
      <c r="G463" s="5"/>
    </row>
    <row r="464" customFormat="false" ht="15" hidden="false" customHeight="false" outlineLevel="0" collapsed="false">
      <c r="A464" s="13"/>
      <c r="B464" s="5"/>
      <c r="C464" s="5"/>
      <c r="D464" s="5"/>
      <c r="E464" s="18"/>
      <c r="F464" s="5"/>
      <c r="G464" s="5"/>
    </row>
    <row r="465" customFormat="false" ht="15" hidden="false" customHeight="false" outlineLevel="0" collapsed="false">
      <c r="A465" s="13"/>
      <c r="B465" s="5"/>
      <c r="C465" s="5"/>
      <c r="D465" s="5"/>
      <c r="E465" s="18"/>
      <c r="F465" s="5"/>
      <c r="G465" s="5"/>
    </row>
    <row r="466" customFormat="false" ht="15" hidden="false" customHeight="false" outlineLevel="0" collapsed="false">
      <c r="A466" s="13"/>
      <c r="B466" s="5"/>
      <c r="C466" s="5"/>
      <c r="D466" s="5"/>
      <c r="E466" s="18"/>
      <c r="F466" s="5"/>
      <c r="G466" s="5"/>
    </row>
    <row r="467" customFormat="false" ht="15" hidden="false" customHeight="false" outlineLevel="0" collapsed="false">
      <c r="A467" s="13"/>
      <c r="B467" s="5"/>
      <c r="C467" s="5"/>
      <c r="D467" s="5"/>
      <c r="E467" s="18"/>
      <c r="F467" s="5"/>
      <c r="G467" s="5"/>
    </row>
    <row r="468" customFormat="false" ht="15" hidden="false" customHeight="false" outlineLevel="0" collapsed="false">
      <c r="A468" s="13"/>
      <c r="B468" s="5"/>
      <c r="C468" s="5"/>
      <c r="D468" s="5"/>
      <c r="E468" s="18"/>
      <c r="F468" s="5"/>
      <c r="G468" s="5"/>
    </row>
    <row r="469" customFormat="false" ht="15" hidden="false" customHeight="false" outlineLevel="0" collapsed="false">
      <c r="A469" s="13"/>
      <c r="B469" s="5"/>
      <c r="C469" s="5"/>
      <c r="D469" s="5"/>
      <c r="E469" s="18"/>
      <c r="F469" s="5"/>
      <c r="G469" s="5"/>
    </row>
    <row r="470" customFormat="false" ht="15" hidden="false" customHeight="false" outlineLevel="0" collapsed="false">
      <c r="A470" s="13"/>
      <c r="B470" s="5"/>
      <c r="C470" s="5"/>
      <c r="D470" s="5"/>
      <c r="E470" s="18"/>
      <c r="F470" s="5"/>
      <c r="G470" s="5"/>
    </row>
    <row r="471" customFormat="false" ht="15" hidden="false" customHeight="false" outlineLevel="0" collapsed="false">
      <c r="A471" s="13"/>
      <c r="B471" s="5"/>
      <c r="C471" s="5"/>
      <c r="D471" s="5"/>
      <c r="E471" s="18"/>
      <c r="F471" s="5"/>
      <c r="G471" s="5"/>
    </row>
    <row r="472" customFormat="false" ht="15" hidden="false" customHeight="false" outlineLevel="0" collapsed="false">
      <c r="A472" s="13"/>
      <c r="B472" s="5"/>
      <c r="C472" s="5"/>
      <c r="D472" s="5"/>
      <c r="E472" s="18"/>
      <c r="F472" s="5"/>
      <c r="G472" s="5"/>
    </row>
    <row r="473" customFormat="false" ht="15" hidden="false" customHeight="false" outlineLevel="0" collapsed="false">
      <c r="A473" s="13"/>
      <c r="B473" s="5"/>
      <c r="C473" s="5"/>
      <c r="D473" s="5"/>
      <c r="E473" s="18"/>
      <c r="F473" s="5"/>
      <c r="G473" s="5"/>
    </row>
    <row r="474" customFormat="false" ht="15" hidden="false" customHeight="false" outlineLevel="0" collapsed="false">
      <c r="A474" s="13"/>
      <c r="B474" s="5"/>
      <c r="C474" s="5"/>
      <c r="D474" s="5"/>
      <c r="E474" s="18"/>
      <c r="F474" s="5"/>
      <c r="G474" s="5"/>
    </row>
    <row r="475" customFormat="false" ht="15" hidden="false" customHeight="false" outlineLevel="0" collapsed="false">
      <c r="A475" s="13"/>
      <c r="B475" s="5"/>
      <c r="C475" s="5"/>
      <c r="D475" s="5"/>
      <c r="E475" s="18"/>
      <c r="F475" s="5"/>
      <c r="G475" s="5"/>
    </row>
    <row r="476" customFormat="false" ht="15" hidden="false" customHeight="false" outlineLevel="0" collapsed="false">
      <c r="A476" s="13"/>
      <c r="B476" s="5"/>
      <c r="C476" s="5"/>
      <c r="D476" s="5"/>
      <c r="E476" s="18"/>
      <c r="F476" s="5"/>
      <c r="G476" s="5"/>
    </row>
    <row r="477" customFormat="false" ht="15" hidden="false" customHeight="false" outlineLevel="0" collapsed="false">
      <c r="A477" s="13"/>
      <c r="B477" s="5"/>
      <c r="C477" s="5"/>
      <c r="D477" s="5"/>
      <c r="E477" s="18"/>
      <c r="F477" s="5"/>
      <c r="G477" s="5"/>
    </row>
    <row r="478" customFormat="false" ht="15" hidden="false" customHeight="false" outlineLevel="0" collapsed="false">
      <c r="A478" s="13"/>
      <c r="B478" s="5"/>
      <c r="C478" s="5"/>
      <c r="D478" s="5"/>
      <c r="E478" s="18"/>
      <c r="F478" s="5"/>
      <c r="G478" s="5"/>
    </row>
    <row r="479" customFormat="false" ht="15" hidden="false" customHeight="false" outlineLevel="0" collapsed="false">
      <c r="A479" s="13"/>
      <c r="B479" s="5"/>
      <c r="C479" s="5"/>
      <c r="D479" s="5"/>
      <c r="E479" s="18"/>
      <c r="F479" s="5"/>
      <c r="G479" s="5"/>
    </row>
    <row r="480" customFormat="false" ht="15" hidden="false" customHeight="false" outlineLevel="0" collapsed="false">
      <c r="A480" s="13"/>
      <c r="B480" s="5"/>
      <c r="C480" s="5"/>
      <c r="D480" s="5"/>
      <c r="E480" s="18"/>
      <c r="F480" s="5"/>
      <c r="G480" s="5"/>
    </row>
    <row r="481" customFormat="false" ht="15" hidden="false" customHeight="false" outlineLevel="0" collapsed="false">
      <c r="A481" s="13"/>
      <c r="B481" s="5"/>
      <c r="C481" s="5"/>
      <c r="D481" s="5"/>
      <c r="E481" s="18"/>
      <c r="F481" s="5"/>
      <c r="G481" s="5"/>
    </row>
    <row r="482" customFormat="false" ht="15" hidden="false" customHeight="false" outlineLevel="0" collapsed="false">
      <c r="A482" s="13"/>
      <c r="B482" s="5"/>
      <c r="C482" s="5"/>
      <c r="D482" s="5"/>
      <c r="E482" s="18"/>
      <c r="F482" s="5"/>
      <c r="G482" s="5"/>
    </row>
    <row r="483" customFormat="false" ht="15" hidden="false" customHeight="false" outlineLevel="0" collapsed="false">
      <c r="A483" s="13"/>
      <c r="B483" s="5"/>
      <c r="C483" s="5"/>
      <c r="D483" s="5"/>
      <c r="E483" s="18"/>
      <c r="F483" s="5"/>
      <c r="G483" s="5"/>
    </row>
    <row r="484" customFormat="false" ht="15" hidden="false" customHeight="false" outlineLevel="0" collapsed="false">
      <c r="A484" s="13"/>
      <c r="B484" s="5"/>
      <c r="C484" s="5"/>
      <c r="D484" s="5"/>
      <c r="E484" s="18"/>
      <c r="F484" s="5"/>
      <c r="G484" s="5"/>
    </row>
    <row r="485" customFormat="false" ht="15" hidden="false" customHeight="false" outlineLevel="0" collapsed="false">
      <c r="A485" s="13"/>
      <c r="B485" s="5"/>
      <c r="C485" s="5"/>
      <c r="D485" s="5"/>
      <c r="E485" s="18"/>
      <c r="F485" s="5"/>
      <c r="G485" s="5"/>
    </row>
    <row r="486" customFormat="false" ht="15" hidden="false" customHeight="false" outlineLevel="0" collapsed="false">
      <c r="A486" s="13"/>
      <c r="B486" s="5"/>
      <c r="C486" s="5"/>
      <c r="D486" s="5"/>
      <c r="E486" s="18"/>
      <c r="F486" s="5"/>
      <c r="G486" s="5"/>
    </row>
    <row r="487" customFormat="false" ht="15" hidden="false" customHeight="false" outlineLevel="0" collapsed="false">
      <c r="A487" s="13"/>
      <c r="B487" s="5"/>
      <c r="C487" s="5"/>
      <c r="D487" s="5"/>
      <c r="E487" s="18"/>
      <c r="F487" s="5"/>
      <c r="G487" s="5"/>
    </row>
    <row r="488" customFormat="false" ht="15" hidden="false" customHeight="false" outlineLevel="0" collapsed="false">
      <c r="A488" s="13"/>
      <c r="B488" s="5"/>
      <c r="C488" s="5"/>
      <c r="D488" s="5"/>
      <c r="E488" s="18"/>
      <c r="F488" s="5"/>
      <c r="G488" s="5"/>
    </row>
    <row r="489" customFormat="false" ht="15" hidden="false" customHeight="false" outlineLevel="0" collapsed="false">
      <c r="A489" s="13"/>
      <c r="B489" s="5"/>
      <c r="C489" s="5"/>
      <c r="D489" s="5"/>
      <c r="E489" s="18"/>
      <c r="F489" s="5"/>
      <c r="G489" s="5"/>
    </row>
    <row r="490" customFormat="false" ht="15" hidden="false" customHeight="false" outlineLevel="0" collapsed="false">
      <c r="A490" s="13"/>
      <c r="B490" s="5"/>
      <c r="C490" s="5"/>
      <c r="D490" s="5"/>
      <c r="E490" s="18"/>
      <c r="F490" s="5"/>
      <c r="G490" s="5"/>
    </row>
    <row r="491" customFormat="false" ht="15" hidden="false" customHeight="false" outlineLevel="0" collapsed="false">
      <c r="A491" s="13"/>
      <c r="B491" s="5"/>
      <c r="C491" s="5"/>
      <c r="D491" s="5"/>
      <c r="E491" s="18"/>
      <c r="F491" s="5"/>
      <c r="G491" s="5"/>
    </row>
    <row r="492" customFormat="false" ht="15" hidden="false" customHeight="false" outlineLevel="0" collapsed="false">
      <c r="A492" s="13"/>
      <c r="B492" s="5"/>
      <c r="C492" s="5"/>
      <c r="D492" s="5"/>
      <c r="E492" s="18"/>
      <c r="F492" s="5"/>
      <c r="G492" s="5"/>
    </row>
    <row r="493" customFormat="false" ht="15" hidden="false" customHeight="false" outlineLevel="0" collapsed="false">
      <c r="A493" s="13"/>
      <c r="B493" s="5"/>
      <c r="C493" s="5"/>
      <c r="D493" s="5"/>
      <c r="E493" s="18"/>
      <c r="F493" s="5"/>
      <c r="G493" s="5"/>
    </row>
    <row r="494" customFormat="false" ht="15" hidden="false" customHeight="false" outlineLevel="0" collapsed="false">
      <c r="A494" s="13"/>
      <c r="B494" s="5"/>
      <c r="C494" s="5"/>
      <c r="D494" s="5"/>
      <c r="E494" s="18"/>
      <c r="F494" s="5"/>
      <c r="G494" s="5"/>
    </row>
    <row r="495" customFormat="false" ht="15" hidden="false" customHeight="false" outlineLevel="0" collapsed="false">
      <c r="A495" s="13"/>
      <c r="B495" s="5"/>
      <c r="C495" s="5"/>
      <c r="D495" s="5"/>
      <c r="E495" s="18"/>
      <c r="F495" s="5"/>
      <c r="G495" s="5"/>
    </row>
    <row r="496" customFormat="false" ht="15" hidden="false" customHeight="false" outlineLevel="0" collapsed="false">
      <c r="A496" s="13"/>
      <c r="B496" s="5"/>
      <c r="C496" s="5"/>
      <c r="D496" s="5"/>
      <c r="E496" s="18"/>
      <c r="F496" s="5"/>
      <c r="G496" s="5"/>
    </row>
    <row r="497" customFormat="false" ht="15" hidden="false" customHeight="false" outlineLevel="0" collapsed="false">
      <c r="A497" s="13"/>
      <c r="B497" s="5"/>
      <c r="C497" s="5"/>
      <c r="D497" s="5"/>
      <c r="E497" s="18"/>
      <c r="F497" s="5"/>
      <c r="G497" s="5"/>
    </row>
    <row r="498" customFormat="false" ht="15" hidden="false" customHeight="false" outlineLevel="0" collapsed="false">
      <c r="A498" s="13"/>
      <c r="B498" s="5"/>
      <c r="C498" s="5"/>
      <c r="D498" s="5"/>
      <c r="E498" s="18"/>
      <c r="F498" s="5"/>
      <c r="G498" s="5"/>
    </row>
    <row r="499" customFormat="false" ht="15" hidden="false" customHeight="false" outlineLevel="0" collapsed="false">
      <c r="A499" s="13"/>
      <c r="B499" s="5"/>
      <c r="C499" s="5"/>
      <c r="D499" s="5"/>
      <c r="E499" s="18"/>
      <c r="F499" s="5"/>
      <c r="G499" s="5"/>
    </row>
    <row r="500" customFormat="false" ht="15" hidden="false" customHeight="false" outlineLevel="0" collapsed="false">
      <c r="A500" s="13"/>
      <c r="B500" s="5"/>
      <c r="C500" s="5"/>
      <c r="D500" s="5"/>
      <c r="E500" s="18"/>
      <c r="F500" s="5"/>
      <c r="G500" s="5"/>
    </row>
    <row r="501" customFormat="false" ht="15" hidden="false" customHeight="false" outlineLevel="0" collapsed="false">
      <c r="A501" s="13"/>
      <c r="B501" s="5"/>
      <c r="C501" s="5"/>
      <c r="D501" s="5"/>
      <c r="E501" s="18"/>
      <c r="F501" s="5"/>
      <c r="G501" s="5"/>
    </row>
    <row r="502" customFormat="false" ht="15" hidden="false" customHeight="false" outlineLevel="0" collapsed="false">
      <c r="A502" s="13"/>
      <c r="B502" s="5"/>
      <c r="C502" s="5"/>
      <c r="D502" s="5"/>
      <c r="E502" s="18"/>
      <c r="F502" s="5"/>
      <c r="G502" s="5"/>
    </row>
    <row r="503" customFormat="false" ht="15" hidden="false" customHeight="false" outlineLevel="0" collapsed="false">
      <c r="A503" s="13"/>
      <c r="B503" s="5"/>
      <c r="C503" s="5"/>
      <c r="D503" s="5"/>
      <c r="E503" s="18"/>
      <c r="F503" s="5"/>
      <c r="G503" s="5"/>
    </row>
    <row r="504" customFormat="false" ht="15" hidden="false" customHeight="false" outlineLevel="0" collapsed="false">
      <c r="A504" s="13"/>
      <c r="B504" s="5"/>
      <c r="C504" s="5"/>
      <c r="D504" s="5"/>
      <c r="E504" s="18"/>
      <c r="F504" s="5"/>
      <c r="G504" s="5"/>
    </row>
    <row r="505" customFormat="false" ht="15" hidden="false" customHeight="false" outlineLevel="0" collapsed="false">
      <c r="A505" s="13"/>
      <c r="B505" s="5"/>
      <c r="C505" s="5"/>
      <c r="D505" s="5"/>
      <c r="E505" s="18"/>
      <c r="F505" s="5"/>
      <c r="G505" s="5"/>
    </row>
  </sheetData>
  <conditionalFormatting sqref="L6:L18">
    <cfRule type="cellIs" priority="2" operator="lessThan" aboveAverage="0" equalAverage="0" bottom="0" percent="0" rank="0" text="" dxfId="0">
      <formula>0</formula>
    </cfRule>
  </conditionalFormatting>
  <dataValidations count="3">
    <dataValidation allowBlank="true" errorStyle="stop" operator="between" showDropDown="false" showErrorMessage="false" showInputMessage="false" sqref="B6:B505" type="list">
      <formula1>"수입,비용"</formula1>
      <formula2>0</formula2>
    </dataValidation>
    <dataValidation allowBlank="true" errorStyle="stop" operator="between" showDropDown="false" showErrorMessage="false" showInputMessage="false" sqref="C6:C505" type="list">
      <formula1>$Z$6:$Z$18</formula1>
      <formula2>0</formula2>
    </dataValidation>
    <dataValidation allowBlank="true" errorStyle="stop" operator="between" showDropDown="false" showErrorMessage="false" showInputMessage="false" sqref="F6:F505" type="list">
      <formula1>"카드,현금영수증,세금계산서,계좌이체,간이영수증,없음"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887E"/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0" t="s">
        <v>219</v>
      </c>
    </row>
    <row r="2" customFormat="false" ht="15" hidden="false" customHeight="false" outlineLevel="0" collapsed="false">
      <c r="A2" s="11" t="s">
        <v>220</v>
      </c>
    </row>
    <row r="4" customFormat="false" ht="17.15" hidden="false" customHeight="false" outlineLevel="0" collapsed="false">
      <c r="A4" s="34" t="s">
        <v>221</v>
      </c>
    </row>
    <row r="5" customFormat="false" ht="15" hidden="false" customHeight="false" outlineLevel="0" collapsed="false">
      <c r="A5" s="28" t="s">
        <v>222</v>
      </c>
      <c r="B5" s="20" t="n">
        <f aca="false">'8 간편장부'!J18</f>
        <v>0</v>
      </c>
    </row>
    <row r="6" customFormat="false" ht="15" hidden="false" customHeight="false" outlineLevel="0" collapsed="false">
      <c r="A6" s="28" t="s">
        <v>223</v>
      </c>
      <c r="B6" s="20" t="n">
        <f aca="false">SUMIFS('8 간편장부'!$E$6:$E$505,'8 간편장부'!$B$6:$B$505,"비용",'8 간편장부'!$F$6:$F$505,"세금계산서")+SUMIFS('8 간편장부'!$E$6:$E$505,'8 간편장부'!$B$6:$B$505,"비용",'8 간편장부'!$F$6:$F$505,"카드")+SUMIFS('8 간편장부'!$E$6:$E$505,'8 간편장부'!$B$6:$B$505,"비용",'8 간편장부'!$F$6:$F$505,"현금영수증")</f>
        <v>0</v>
      </c>
    </row>
    <row r="7" customFormat="false" ht="15" hidden="false" customHeight="false" outlineLevel="0" collapsed="false">
      <c r="A7" s="28" t="s">
        <v>224</v>
      </c>
      <c r="B7" s="20" t="n">
        <f aca="false">SUMIFS('8 간편장부'!$E$6:$E$505,'8 간편장부'!$C$6:$C$505,"인건비")+SUMIFS('8 간편장부'!$E$6:$E$505,'8 간편장부'!$C$6:$C$505,"보험료")</f>
        <v>0</v>
      </c>
    </row>
    <row r="8" customFormat="false" ht="15" hidden="false" customHeight="false" outlineLevel="0" collapsed="false">
      <c r="A8" s="31" t="s">
        <v>225</v>
      </c>
      <c r="B8" s="22" t="n">
        <f aca="false">MAX(0,(B5-(B6-B7))/11)</f>
        <v>0</v>
      </c>
    </row>
    <row r="9" customFormat="false" ht="15" hidden="false" customHeight="false" outlineLevel="0" collapsed="false">
      <c r="A9" s="27" t="s">
        <v>226</v>
      </c>
    </row>
    <row r="11" customFormat="false" ht="17.15" hidden="false" customHeight="false" outlineLevel="0" collapsed="false">
      <c r="A11" s="34" t="s">
        <v>227</v>
      </c>
      <c r="D11" s="12" t="s">
        <v>228</v>
      </c>
    </row>
    <row r="12" customFormat="false" ht="30" hidden="false" customHeight="true" outlineLevel="0" collapsed="false">
      <c r="A12" s="28" t="s">
        <v>229</v>
      </c>
      <c r="B12" s="20" t="n">
        <f aca="false">'8 간편장부'!J18</f>
        <v>0</v>
      </c>
      <c r="D12" s="14" t="s">
        <v>230</v>
      </c>
      <c r="E12" s="14" t="s">
        <v>231</v>
      </c>
      <c r="F12" s="14" t="s">
        <v>232</v>
      </c>
    </row>
    <row r="13" customFormat="false" ht="15" hidden="false" customHeight="false" outlineLevel="0" collapsed="false">
      <c r="A13" s="28" t="s">
        <v>233</v>
      </c>
      <c r="B13" s="20" t="n">
        <f aca="false">'8 간편장부'!K18</f>
        <v>0</v>
      </c>
      <c r="D13" s="20" t="n">
        <v>0</v>
      </c>
      <c r="E13" s="50" t="n">
        <v>0.06</v>
      </c>
      <c r="F13" s="20" t="n">
        <v>0</v>
      </c>
    </row>
    <row r="14" customFormat="false" ht="15" hidden="false" customHeight="false" outlineLevel="0" collapsed="false">
      <c r="A14" s="28" t="s">
        <v>234</v>
      </c>
      <c r="B14" s="20" t="n">
        <f aca="false">MAX(0,B12-B13)</f>
        <v>0</v>
      </c>
      <c r="D14" s="20" t="n">
        <v>14000000</v>
      </c>
      <c r="E14" s="50" t="n">
        <v>0.15</v>
      </c>
      <c r="F14" s="20" t="n">
        <v>1260000</v>
      </c>
    </row>
    <row r="15" customFormat="false" ht="15" hidden="false" customHeight="false" outlineLevel="0" collapsed="false">
      <c r="A15" s="28" t="s">
        <v>235</v>
      </c>
      <c r="B15" s="18" t="n">
        <v>1500000</v>
      </c>
      <c r="D15" s="20" t="n">
        <v>50000000</v>
      </c>
      <c r="E15" s="50" t="n">
        <v>0.24</v>
      </c>
      <c r="F15" s="20" t="n">
        <v>5760000</v>
      </c>
    </row>
    <row r="16" customFormat="false" ht="15" hidden="false" customHeight="false" outlineLevel="0" collapsed="false">
      <c r="A16" s="28" t="s">
        <v>236</v>
      </c>
      <c r="B16" s="20" t="n">
        <f aca="false">MAX(0,B14-B15)</f>
        <v>0</v>
      </c>
      <c r="D16" s="20" t="n">
        <v>88000000</v>
      </c>
      <c r="E16" s="50" t="n">
        <v>0.35</v>
      </c>
      <c r="F16" s="20" t="n">
        <v>15440000</v>
      </c>
    </row>
    <row r="17" customFormat="false" ht="15" hidden="false" customHeight="false" outlineLevel="0" collapsed="false">
      <c r="A17" s="28" t="s">
        <v>237</v>
      </c>
      <c r="B17" s="20" t="n">
        <f aca="false">IFERROR(B16*INDEX($E$13:$E$20,MATCH(B16,$D$13:$D$20,1))-INDEX($F$13:$F$20,MATCH(B16,$D$13:$D$20,1)),0)</f>
        <v>0</v>
      </c>
      <c r="D17" s="20" t="n">
        <v>150000000</v>
      </c>
      <c r="E17" s="50" t="n">
        <v>0.38</v>
      </c>
      <c r="F17" s="20" t="n">
        <v>19940000</v>
      </c>
    </row>
    <row r="18" customFormat="false" ht="15" hidden="false" customHeight="false" outlineLevel="0" collapsed="false">
      <c r="A18" s="28" t="s">
        <v>238</v>
      </c>
      <c r="B18" s="20" t="n">
        <f aca="false">B17*0.1</f>
        <v>0</v>
      </c>
      <c r="D18" s="20" t="n">
        <v>300000000</v>
      </c>
      <c r="E18" s="50" t="n">
        <v>0.4</v>
      </c>
      <c r="F18" s="20" t="n">
        <v>25940000</v>
      </c>
    </row>
    <row r="19" customFormat="false" ht="15" hidden="false" customHeight="false" outlineLevel="0" collapsed="false">
      <c r="A19" s="31" t="s">
        <v>239</v>
      </c>
      <c r="B19" s="22" t="n">
        <f aca="false">B17+B18</f>
        <v>0</v>
      </c>
      <c r="D19" s="20" t="n">
        <v>500000000</v>
      </c>
      <c r="E19" s="50" t="n">
        <v>0.42</v>
      </c>
      <c r="F19" s="20" t="n">
        <v>35940000</v>
      </c>
    </row>
    <row r="20" customFormat="false" ht="15" hidden="false" customHeight="false" outlineLevel="0" collapsed="false">
      <c r="D20" s="20" t="n">
        <v>1000000000</v>
      </c>
      <c r="E20" s="50" t="n">
        <v>0.45</v>
      </c>
      <c r="F20" s="20" t="n">
        <v>65940000</v>
      </c>
    </row>
    <row r="21" customFormat="false" ht="15" hidden="false" customHeight="false" outlineLevel="0" collapsed="false">
      <c r="A21" s="34" t="s">
        <v>240</v>
      </c>
      <c r="D21" s="51" t="s">
        <v>241</v>
      </c>
    </row>
    <row r="22" customFormat="false" ht="15" hidden="false" customHeight="false" outlineLevel="0" collapsed="false">
      <c r="A22" s="31" t="s">
        <v>242</v>
      </c>
      <c r="B22" s="22" t="n">
        <f aca="false">B8+B19</f>
        <v>0</v>
      </c>
    </row>
    <row r="23" customFormat="false" ht="15" hidden="false" customHeight="false" outlineLevel="0" collapsed="false">
      <c r="A23" s="28" t="s">
        <v>243</v>
      </c>
      <c r="B23" s="33" t="n">
        <f aca="false">B22/12</f>
        <v>0</v>
      </c>
    </row>
    <row r="24" customFormat="false" ht="15" hidden="false" customHeight="false" outlineLevel="0" collapsed="false">
      <c r="A24" s="28" t="s">
        <v>244</v>
      </c>
      <c r="B24" s="52" t="n">
        <f aca="false">IFERROR(B22/B5,0)</f>
        <v>0</v>
      </c>
    </row>
    <row r="26" customFormat="false" ht="15" hidden="false" customHeight="false" outlineLevel="0" collapsed="false">
      <c r="A26" s="53" t="s">
        <v>18</v>
      </c>
    </row>
    <row r="27" customFormat="false" ht="15" hidden="false" customHeight="false" outlineLevel="0" collapsed="false">
      <c r="A27" s="54" t="s">
        <v>245</v>
      </c>
    </row>
    <row r="28" customFormat="false" ht="15" hidden="false" customHeight="false" outlineLevel="0" collapsed="false">
      <c r="A28" s="54" t="s">
        <v>246</v>
      </c>
    </row>
    <row r="29" customFormat="false" ht="15" hidden="false" customHeight="false" outlineLevel="0" collapsed="false">
      <c r="A29" s="54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2026-11-01T05:27:21Z</dcterms:created>
  <dc:creator>openpyxl</dc:creator>
  <dc:description/>
  <dc:language>en-US</dc:language>
  <cp:lastModifiedBy/>
  <dcterms:modified xsi:type="dcterms:W3CDTF">2026-11-01T14:27:24Z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